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-H\Advanced_Excel_KPI_Analyzer\"/>
    </mc:Choice>
  </mc:AlternateContent>
  <xr:revisionPtr revIDLastSave="0" documentId="13_ncr:1_{A1B6947F-1B21-4244-BB12-EEC25B79F4B2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Raw_Data" sheetId="1" r:id="rId1"/>
    <sheet name="Cleaned_Data" sheetId="2" r:id="rId2"/>
    <sheet name="Targets" sheetId="3" r:id="rId3"/>
    <sheet name="KPI_Calculations" sheetId="4" r:id="rId4"/>
    <sheet name="Insight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4" l="1"/>
  <c r="F4" i="4" s="1"/>
  <c r="D4" i="4"/>
  <c r="C3" i="4"/>
  <c r="C4" i="4"/>
  <c r="C2" i="4"/>
  <c r="A3" i="2"/>
  <c r="D3" i="2"/>
  <c r="E3" i="2"/>
  <c r="F3" i="2"/>
  <c r="A4" i="2"/>
  <c r="C4" i="2" s="1"/>
  <c r="D4" i="2"/>
  <c r="E4" i="2"/>
  <c r="F4" i="2"/>
  <c r="A5" i="2"/>
  <c r="B5" i="2" s="1"/>
  <c r="D5" i="2"/>
  <c r="E5" i="2"/>
  <c r="F5" i="2"/>
  <c r="A6" i="2"/>
  <c r="D6" i="2"/>
  <c r="E6" i="2"/>
  <c r="F6" i="2"/>
  <c r="A7" i="2"/>
  <c r="D7" i="2"/>
  <c r="E7" i="2"/>
  <c r="F7" i="2"/>
  <c r="A8" i="2"/>
  <c r="D8" i="2"/>
  <c r="E8" i="2"/>
  <c r="F8" i="2"/>
  <c r="A9" i="2"/>
  <c r="D9" i="2"/>
  <c r="E9" i="2"/>
  <c r="F9" i="2"/>
  <c r="A10" i="2"/>
  <c r="D10" i="2"/>
  <c r="E10" i="2"/>
  <c r="F10" i="2"/>
  <c r="A11" i="2"/>
  <c r="C11" i="2" s="1"/>
  <c r="D11" i="2"/>
  <c r="E11" i="2"/>
  <c r="F11" i="2"/>
  <c r="A12" i="2"/>
  <c r="D12" i="2"/>
  <c r="E12" i="2"/>
  <c r="F12" i="2"/>
  <c r="A13" i="2"/>
  <c r="D13" i="2"/>
  <c r="E13" i="2"/>
  <c r="F13" i="2"/>
  <c r="A14" i="2"/>
  <c r="D14" i="2"/>
  <c r="E14" i="2"/>
  <c r="F14" i="2"/>
  <c r="A15" i="2"/>
  <c r="C15" i="2" s="1"/>
  <c r="D15" i="2"/>
  <c r="E15" i="2"/>
  <c r="F15" i="2"/>
  <c r="A16" i="2"/>
  <c r="D16" i="2"/>
  <c r="E16" i="2"/>
  <c r="F16" i="2"/>
  <c r="A17" i="2"/>
  <c r="D17" i="2"/>
  <c r="E17" i="2"/>
  <c r="F17" i="2"/>
  <c r="A18" i="2"/>
  <c r="D18" i="2"/>
  <c r="E18" i="2"/>
  <c r="F18" i="2"/>
  <c r="A19" i="2"/>
  <c r="D19" i="2"/>
  <c r="E19" i="2"/>
  <c r="F19" i="2"/>
  <c r="A20" i="2"/>
  <c r="C20" i="2" s="1"/>
  <c r="D20" i="2"/>
  <c r="E20" i="2"/>
  <c r="F20" i="2"/>
  <c r="A21" i="2"/>
  <c r="D21" i="2"/>
  <c r="E21" i="2"/>
  <c r="F21" i="2"/>
  <c r="A22" i="2"/>
  <c r="D22" i="2"/>
  <c r="E22" i="2"/>
  <c r="F22" i="2"/>
  <c r="A23" i="2"/>
  <c r="D23" i="2"/>
  <c r="E23" i="2"/>
  <c r="F23" i="2"/>
  <c r="A24" i="2"/>
  <c r="B24" i="2" s="1"/>
  <c r="D24" i="2"/>
  <c r="E24" i="2"/>
  <c r="F24" i="2"/>
  <c r="A25" i="2"/>
  <c r="D25" i="2"/>
  <c r="E25" i="2"/>
  <c r="F25" i="2"/>
  <c r="A26" i="2"/>
  <c r="D26" i="2"/>
  <c r="E26" i="2"/>
  <c r="F26" i="2"/>
  <c r="A27" i="2"/>
  <c r="D27" i="2"/>
  <c r="E27" i="2"/>
  <c r="F27" i="2"/>
  <c r="A28" i="2"/>
  <c r="C28" i="2" s="1"/>
  <c r="D28" i="2"/>
  <c r="E28" i="2"/>
  <c r="F28" i="2"/>
  <c r="A29" i="2"/>
  <c r="D29" i="2"/>
  <c r="E29" i="2"/>
  <c r="F29" i="2"/>
  <c r="A30" i="2"/>
  <c r="D30" i="2"/>
  <c r="E30" i="2"/>
  <c r="F30" i="2"/>
  <c r="A31" i="2"/>
  <c r="D31" i="2"/>
  <c r="E31" i="2"/>
  <c r="F31" i="2"/>
  <c r="A32" i="2"/>
  <c r="C32" i="2" s="1"/>
  <c r="D32" i="2"/>
  <c r="E32" i="2"/>
  <c r="F32" i="2"/>
  <c r="A33" i="2"/>
  <c r="D33" i="2"/>
  <c r="E33" i="2"/>
  <c r="F33" i="2"/>
  <c r="A34" i="2"/>
  <c r="D34" i="2"/>
  <c r="E34" i="2"/>
  <c r="F34" i="2"/>
  <c r="A35" i="2"/>
  <c r="D35" i="2"/>
  <c r="E35" i="2"/>
  <c r="F35" i="2"/>
  <c r="A36" i="2"/>
  <c r="D36" i="2"/>
  <c r="E36" i="2"/>
  <c r="F36" i="2"/>
  <c r="A37" i="2"/>
  <c r="D37" i="2"/>
  <c r="E37" i="2"/>
  <c r="F37" i="2"/>
  <c r="A38" i="2"/>
  <c r="D38" i="2"/>
  <c r="E38" i="2"/>
  <c r="F38" i="2"/>
  <c r="A39" i="2"/>
  <c r="D39" i="2"/>
  <c r="E39" i="2"/>
  <c r="F39" i="2"/>
  <c r="A40" i="2"/>
  <c r="D40" i="2"/>
  <c r="E40" i="2"/>
  <c r="F40" i="2"/>
  <c r="A41" i="2"/>
  <c r="D41" i="2"/>
  <c r="E41" i="2"/>
  <c r="F41" i="2"/>
  <c r="A42" i="2"/>
  <c r="D42" i="2"/>
  <c r="E42" i="2"/>
  <c r="F42" i="2"/>
  <c r="A43" i="2"/>
  <c r="D43" i="2"/>
  <c r="E43" i="2"/>
  <c r="F43" i="2"/>
  <c r="A44" i="2"/>
  <c r="D44" i="2"/>
  <c r="E44" i="2"/>
  <c r="F44" i="2"/>
  <c r="A45" i="2"/>
  <c r="D45" i="2"/>
  <c r="E45" i="2"/>
  <c r="F45" i="2"/>
  <c r="A46" i="2"/>
  <c r="D46" i="2"/>
  <c r="E46" i="2"/>
  <c r="F46" i="2"/>
  <c r="A47" i="2"/>
  <c r="D47" i="2"/>
  <c r="E47" i="2"/>
  <c r="F47" i="2"/>
  <c r="A48" i="2"/>
  <c r="D48" i="2"/>
  <c r="E48" i="2"/>
  <c r="F48" i="2"/>
  <c r="A49" i="2"/>
  <c r="D49" i="2"/>
  <c r="E49" i="2"/>
  <c r="F49" i="2"/>
  <c r="A50" i="2"/>
  <c r="D50" i="2"/>
  <c r="E50" i="2"/>
  <c r="F50" i="2"/>
  <c r="A51" i="2"/>
  <c r="D51" i="2"/>
  <c r="E51" i="2"/>
  <c r="F51" i="2"/>
  <c r="A52" i="2"/>
  <c r="D52" i="2"/>
  <c r="E52" i="2"/>
  <c r="F52" i="2"/>
  <c r="A53" i="2"/>
  <c r="D53" i="2"/>
  <c r="E53" i="2"/>
  <c r="F53" i="2"/>
  <c r="A54" i="2"/>
  <c r="D54" i="2"/>
  <c r="E54" i="2"/>
  <c r="F54" i="2"/>
  <c r="A55" i="2"/>
  <c r="D55" i="2"/>
  <c r="E55" i="2"/>
  <c r="F55" i="2"/>
  <c r="A56" i="2"/>
  <c r="C56" i="2" s="1"/>
  <c r="D56" i="2"/>
  <c r="E56" i="2"/>
  <c r="F56" i="2"/>
  <c r="A57" i="2"/>
  <c r="D57" i="2"/>
  <c r="E57" i="2"/>
  <c r="F57" i="2"/>
  <c r="A58" i="2"/>
  <c r="D58" i="2"/>
  <c r="E58" i="2"/>
  <c r="F58" i="2"/>
  <c r="A59" i="2"/>
  <c r="B59" i="2" s="1"/>
  <c r="D59" i="2"/>
  <c r="E59" i="2"/>
  <c r="F59" i="2"/>
  <c r="A60" i="2"/>
  <c r="D60" i="2"/>
  <c r="E60" i="2"/>
  <c r="F60" i="2"/>
  <c r="A61" i="2"/>
  <c r="C61" i="2" s="1"/>
  <c r="D61" i="2"/>
  <c r="E61" i="2"/>
  <c r="F61" i="2"/>
  <c r="A62" i="2"/>
  <c r="D62" i="2"/>
  <c r="E62" i="2"/>
  <c r="F62" i="2"/>
  <c r="A63" i="2"/>
  <c r="D63" i="2"/>
  <c r="E63" i="2"/>
  <c r="F63" i="2"/>
  <c r="A64" i="2"/>
  <c r="C60" i="2" s="1"/>
  <c r="D64" i="2"/>
  <c r="E64" i="2"/>
  <c r="F64" i="2"/>
  <c r="A65" i="2"/>
  <c r="D65" i="2"/>
  <c r="E65" i="2"/>
  <c r="F65" i="2"/>
  <c r="A66" i="2"/>
  <c r="D66" i="2"/>
  <c r="E66" i="2"/>
  <c r="F66" i="2"/>
  <c r="A67" i="2"/>
  <c r="B67" i="2" s="1"/>
  <c r="D67" i="2"/>
  <c r="E67" i="2"/>
  <c r="F67" i="2"/>
  <c r="A68" i="2"/>
  <c r="D68" i="2"/>
  <c r="E68" i="2"/>
  <c r="F68" i="2"/>
  <c r="A69" i="2"/>
  <c r="D69" i="2"/>
  <c r="E69" i="2"/>
  <c r="F69" i="2"/>
  <c r="A70" i="2"/>
  <c r="B70" i="2" s="1"/>
  <c r="D70" i="2"/>
  <c r="E70" i="2"/>
  <c r="F70" i="2"/>
  <c r="A71" i="2"/>
  <c r="D71" i="2"/>
  <c r="E71" i="2"/>
  <c r="F71" i="2"/>
  <c r="A72" i="2"/>
  <c r="D72" i="2"/>
  <c r="E72" i="2"/>
  <c r="F72" i="2"/>
  <c r="A73" i="2"/>
  <c r="D73" i="2"/>
  <c r="E73" i="2"/>
  <c r="F73" i="2"/>
  <c r="A74" i="2"/>
  <c r="D74" i="2"/>
  <c r="E74" i="2"/>
  <c r="F74" i="2"/>
  <c r="A75" i="2"/>
  <c r="D75" i="2"/>
  <c r="E75" i="2"/>
  <c r="F75" i="2"/>
  <c r="A76" i="2"/>
  <c r="D76" i="2"/>
  <c r="E76" i="2"/>
  <c r="F76" i="2"/>
  <c r="A77" i="2"/>
  <c r="B77" i="2" s="1"/>
  <c r="D77" i="2"/>
  <c r="E77" i="2"/>
  <c r="F77" i="2"/>
  <c r="A78" i="2"/>
  <c r="D78" i="2"/>
  <c r="E78" i="2"/>
  <c r="F78" i="2"/>
  <c r="A79" i="2"/>
  <c r="D79" i="2"/>
  <c r="E79" i="2"/>
  <c r="F79" i="2"/>
  <c r="A80" i="2"/>
  <c r="D80" i="2"/>
  <c r="E80" i="2"/>
  <c r="F80" i="2"/>
  <c r="A81" i="2"/>
  <c r="D81" i="2"/>
  <c r="E81" i="2"/>
  <c r="F81" i="2"/>
  <c r="A82" i="2"/>
  <c r="D82" i="2"/>
  <c r="E82" i="2"/>
  <c r="F82" i="2"/>
  <c r="A83" i="2"/>
  <c r="D83" i="2"/>
  <c r="E83" i="2"/>
  <c r="F83" i="2"/>
  <c r="A84" i="2"/>
  <c r="B84" i="2" s="1"/>
  <c r="D84" i="2"/>
  <c r="E84" i="2"/>
  <c r="F84" i="2"/>
  <c r="A85" i="2"/>
  <c r="D85" i="2"/>
  <c r="E85" i="2"/>
  <c r="F85" i="2"/>
  <c r="A86" i="2"/>
  <c r="D86" i="2"/>
  <c r="E86" i="2"/>
  <c r="F86" i="2"/>
  <c r="A87" i="2"/>
  <c r="D87" i="2"/>
  <c r="E87" i="2"/>
  <c r="F87" i="2"/>
  <c r="A88" i="2"/>
  <c r="C88" i="2" s="1"/>
  <c r="D88" i="2"/>
  <c r="E88" i="2"/>
  <c r="F88" i="2"/>
  <c r="A89" i="2"/>
  <c r="D89" i="2"/>
  <c r="E89" i="2"/>
  <c r="F89" i="2"/>
  <c r="A90" i="2"/>
  <c r="D90" i="2"/>
  <c r="E90" i="2"/>
  <c r="F90" i="2"/>
  <c r="A91" i="2"/>
  <c r="D91" i="2"/>
  <c r="E91" i="2"/>
  <c r="F91" i="2"/>
  <c r="A92" i="2"/>
  <c r="D92" i="2"/>
  <c r="E92" i="2"/>
  <c r="F92" i="2"/>
  <c r="A93" i="2"/>
  <c r="C93" i="2" s="1"/>
  <c r="D93" i="2"/>
  <c r="E93" i="2"/>
  <c r="F93" i="2"/>
  <c r="A94" i="2"/>
  <c r="D94" i="2"/>
  <c r="E94" i="2"/>
  <c r="F94" i="2"/>
  <c r="A95" i="2"/>
  <c r="C95" i="2" s="1"/>
  <c r="D95" i="2"/>
  <c r="E95" i="2"/>
  <c r="F95" i="2"/>
  <c r="A96" i="2"/>
  <c r="D96" i="2"/>
  <c r="E96" i="2"/>
  <c r="F96" i="2"/>
  <c r="A97" i="2"/>
  <c r="D97" i="2"/>
  <c r="E97" i="2"/>
  <c r="F97" i="2"/>
  <c r="A98" i="2"/>
  <c r="D98" i="2"/>
  <c r="E98" i="2"/>
  <c r="F98" i="2"/>
  <c r="A99" i="2"/>
  <c r="C99" i="2" s="1"/>
  <c r="D99" i="2"/>
  <c r="E99" i="2"/>
  <c r="F99" i="2"/>
  <c r="A100" i="2"/>
  <c r="D100" i="2"/>
  <c r="E100" i="2"/>
  <c r="F100" i="2"/>
  <c r="A101" i="2"/>
  <c r="D101" i="2"/>
  <c r="E101" i="2"/>
  <c r="F101" i="2"/>
  <c r="A102" i="2"/>
  <c r="D102" i="2"/>
  <c r="E102" i="2"/>
  <c r="F102" i="2"/>
  <c r="A103" i="2"/>
  <c r="D103" i="2"/>
  <c r="E103" i="2"/>
  <c r="F103" i="2"/>
  <c r="A104" i="2"/>
  <c r="D104" i="2"/>
  <c r="E104" i="2"/>
  <c r="F104" i="2"/>
  <c r="A105" i="2"/>
  <c r="D105" i="2"/>
  <c r="E105" i="2"/>
  <c r="F105" i="2"/>
  <c r="A106" i="2"/>
  <c r="D106" i="2"/>
  <c r="E106" i="2"/>
  <c r="F106" i="2"/>
  <c r="A107" i="2"/>
  <c r="D107" i="2"/>
  <c r="E107" i="2"/>
  <c r="F107" i="2"/>
  <c r="A108" i="2"/>
  <c r="D108" i="2"/>
  <c r="E108" i="2"/>
  <c r="F108" i="2"/>
  <c r="A109" i="2"/>
  <c r="B109" i="2" s="1"/>
  <c r="D109" i="2"/>
  <c r="E109" i="2"/>
  <c r="F109" i="2"/>
  <c r="A110" i="2"/>
  <c r="D110" i="2"/>
  <c r="E110" i="2"/>
  <c r="F110" i="2"/>
  <c r="A111" i="2"/>
  <c r="D111" i="2"/>
  <c r="E111" i="2"/>
  <c r="F111" i="2"/>
  <c r="A112" i="2"/>
  <c r="D112" i="2"/>
  <c r="E112" i="2"/>
  <c r="F112" i="2"/>
  <c r="A113" i="2"/>
  <c r="C113" i="2" s="1"/>
  <c r="D113" i="2"/>
  <c r="E113" i="2"/>
  <c r="F113" i="2"/>
  <c r="A114" i="2"/>
  <c r="D114" i="2"/>
  <c r="E114" i="2"/>
  <c r="F114" i="2"/>
  <c r="A115" i="2"/>
  <c r="D115" i="2"/>
  <c r="E115" i="2"/>
  <c r="F115" i="2"/>
  <c r="A116" i="2"/>
  <c r="D116" i="2"/>
  <c r="E116" i="2"/>
  <c r="F116" i="2"/>
  <c r="A117" i="2"/>
  <c r="D117" i="2"/>
  <c r="E117" i="2"/>
  <c r="F117" i="2"/>
  <c r="A118" i="2"/>
  <c r="D118" i="2"/>
  <c r="E118" i="2"/>
  <c r="F118" i="2"/>
  <c r="A119" i="2"/>
  <c r="D119" i="2"/>
  <c r="E119" i="2"/>
  <c r="F119" i="2"/>
  <c r="A120" i="2"/>
  <c r="D120" i="2"/>
  <c r="E120" i="2"/>
  <c r="F120" i="2"/>
  <c r="A121" i="2"/>
  <c r="D121" i="2"/>
  <c r="E121" i="2"/>
  <c r="F121" i="2"/>
  <c r="A122" i="2"/>
  <c r="D122" i="2"/>
  <c r="E122" i="2"/>
  <c r="F122" i="2"/>
  <c r="A123" i="2"/>
  <c r="D123" i="2"/>
  <c r="E123" i="2"/>
  <c r="F123" i="2"/>
  <c r="A124" i="2"/>
  <c r="B124" i="2" s="1"/>
  <c r="D124" i="2"/>
  <c r="E124" i="2"/>
  <c r="F124" i="2"/>
  <c r="A125" i="2"/>
  <c r="D125" i="2"/>
  <c r="E125" i="2"/>
  <c r="F125" i="2"/>
  <c r="A126" i="2"/>
  <c r="D126" i="2"/>
  <c r="E126" i="2"/>
  <c r="F126" i="2"/>
  <c r="A127" i="2"/>
  <c r="C127" i="2" s="1"/>
  <c r="D127" i="2"/>
  <c r="E127" i="2"/>
  <c r="F127" i="2"/>
  <c r="A128" i="2"/>
  <c r="D128" i="2"/>
  <c r="E128" i="2"/>
  <c r="F128" i="2"/>
  <c r="A129" i="2"/>
  <c r="B129" i="2" s="1"/>
  <c r="D129" i="2"/>
  <c r="E129" i="2"/>
  <c r="F129" i="2"/>
  <c r="A130" i="2"/>
  <c r="D130" i="2"/>
  <c r="E130" i="2"/>
  <c r="F130" i="2"/>
  <c r="A131" i="2"/>
  <c r="D131" i="2"/>
  <c r="E131" i="2"/>
  <c r="F131" i="2"/>
  <c r="A132" i="2"/>
  <c r="D132" i="2"/>
  <c r="E132" i="2"/>
  <c r="F132" i="2"/>
  <c r="A133" i="2"/>
  <c r="D133" i="2"/>
  <c r="E133" i="2"/>
  <c r="F133" i="2"/>
  <c r="A134" i="2"/>
  <c r="D134" i="2"/>
  <c r="E134" i="2"/>
  <c r="F134" i="2"/>
  <c r="A135" i="2"/>
  <c r="D135" i="2"/>
  <c r="E135" i="2"/>
  <c r="F135" i="2"/>
  <c r="A136" i="2"/>
  <c r="D136" i="2"/>
  <c r="E136" i="2"/>
  <c r="F136" i="2"/>
  <c r="A137" i="2"/>
  <c r="D137" i="2"/>
  <c r="E137" i="2"/>
  <c r="F137" i="2"/>
  <c r="A138" i="2"/>
  <c r="D138" i="2"/>
  <c r="E138" i="2"/>
  <c r="F138" i="2"/>
  <c r="A139" i="2"/>
  <c r="D139" i="2"/>
  <c r="E139" i="2"/>
  <c r="F139" i="2"/>
  <c r="A140" i="2"/>
  <c r="B140" i="2" s="1"/>
  <c r="D140" i="2"/>
  <c r="E140" i="2"/>
  <c r="F140" i="2"/>
  <c r="A141" i="2"/>
  <c r="D141" i="2"/>
  <c r="E141" i="2"/>
  <c r="F141" i="2"/>
  <c r="A142" i="2"/>
  <c r="D142" i="2"/>
  <c r="E142" i="2"/>
  <c r="F142" i="2"/>
  <c r="A143" i="2"/>
  <c r="D143" i="2"/>
  <c r="E143" i="2"/>
  <c r="F143" i="2"/>
  <c r="A144" i="2"/>
  <c r="D144" i="2"/>
  <c r="E144" i="2"/>
  <c r="F144" i="2"/>
  <c r="A145" i="2"/>
  <c r="D145" i="2"/>
  <c r="E145" i="2"/>
  <c r="F145" i="2"/>
  <c r="A146" i="2"/>
  <c r="D146" i="2"/>
  <c r="E146" i="2"/>
  <c r="F146" i="2"/>
  <c r="A147" i="2"/>
  <c r="C147" i="2" s="1"/>
  <c r="D147" i="2"/>
  <c r="E147" i="2"/>
  <c r="F147" i="2"/>
  <c r="A148" i="2"/>
  <c r="C86" i="2" s="1"/>
  <c r="D148" i="2"/>
  <c r="E148" i="2"/>
  <c r="F148" i="2"/>
  <c r="A149" i="2"/>
  <c r="D149" i="2"/>
  <c r="E149" i="2"/>
  <c r="F149" i="2"/>
  <c r="A150" i="2"/>
  <c r="D150" i="2"/>
  <c r="E150" i="2"/>
  <c r="F150" i="2"/>
  <c r="A151" i="2"/>
  <c r="D151" i="2"/>
  <c r="E151" i="2"/>
  <c r="F151" i="2"/>
  <c r="A152" i="2"/>
  <c r="B152" i="2" s="1"/>
  <c r="D152" i="2"/>
  <c r="E152" i="2"/>
  <c r="F152" i="2"/>
  <c r="A153" i="2"/>
  <c r="D153" i="2"/>
  <c r="E153" i="2"/>
  <c r="F153" i="2"/>
  <c r="A154" i="2"/>
  <c r="D154" i="2"/>
  <c r="E154" i="2"/>
  <c r="F154" i="2"/>
  <c r="A155" i="2"/>
  <c r="C155" i="2" s="1"/>
  <c r="D155" i="2"/>
  <c r="E155" i="2"/>
  <c r="F155" i="2"/>
  <c r="A156" i="2"/>
  <c r="D156" i="2"/>
  <c r="E156" i="2"/>
  <c r="F156" i="2"/>
  <c r="A157" i="2"/>
  <c r="C157" i="2" s="1"/>
  <c r="D157" i="2"/>
  <c r="E157" i="2"/>
  <c r="F157" i="2"/>
  <c r="A158" i="2"/>
  <c r="D158" i="2"/>
  <c r="E158" i="2"/>
  <c r="F158" i="2"/>
  <c r="A159" i="2"/>
  <c r="D159" i="2"/>
  <c r="E159" i="2"/>
  <c r="F159" i="2"/>
  <c r="A160" i="2"/>
  <c r="D160" i="2"/>
  <c r="E160" i="2"/>
  <c r="F160" i="2"/>
  <c r="A161" i="2"/>
  <c r="C161" i="2" s="1"/>
  <c r="D161" i="2"/>
  <c r="E161" i="2"/>
  <c r="F161" i="2"/>
  <c r="A162" i="2"/>
  <c r="D162" i="2"/>
  <c r="E162" i="2"/>
  <c r="F162" i="2"/>
  <c r="A163" i="2"/>
  <c r="B163" i="2" s="1"/>
  <c r="D163" i="2"/>
  <c r="E163" i="2"/>
  <c r="F163" i="2"/>
  <c r="A164" i="2"/>
  <c r="B155" i="2" s="1"/>
  <c r="D164" i="2"/>
  <c r="E164" i="2"/>
  <c r="F164" i="2"/>
  <c r="A165" i="2"/>
  <c r="C165" i="2" s="1"/>
  <c r="D165" i="2"/>
  <c r="E165" i="2"/>
  <c r="F165" i="2"/>
  <c r="A166" i="2"/>
  <c r="D166" i="2"/>
  <c r="E166" i="2"/>
  <c r="F166" i="2"/>
  <c r="A167" i="2"/>
  <c r="D167" i="2"/>
  <c r="E167" i="2"/>
  <c r="F167" i="2"/>
  <c r="A168" i="2"/>
  <c r="C168" i="2" s="1"/>
  <c r="B168" i="2"/>
  <c r="D168" i="2"/>
  <c r="E168" i="2"/>
  <c r="F168" i="2"/>
  <c r="A169" i="2"/>
  <c r="D169" i="2"/>
  <c r="E169" i="2"/>
  <c r="F169" i="2"/>
  <c r="A170" i="2"/>
  <c r="D170" i="2"/>
  <c r="E170" i="2"/>
  <c r="F170" i="2"/>
  <c r="A171" i="2"/>
  <c r="D171" i="2"/>
  <c r="E171" i="2"/>
  <c r="F171" i="2"/>
  <c r="A172" i="2"/>
  <c r="D172" i="2"/>
  <c r="E172" i="2"/>
  <c r="F172" i="2"/>
  <c r="A173" i="2"/>
  <c r="D173" i="2"/>
  <c r="E173" i="2"/>
  <c r="F173" i="2"/>
  <c r="A174" i="2"/>
  <c r="B45" i="2" s="1"/>
  <c r="D174" i="2"/>
  <c r="E174" i="2"/>
  <c r="F174" i="2"/>
  <c r="A175" i="2"/>
  <c r="D175" i="2"/>
  <c r="E175" i="2"/>
  <c r="F175" i="2"/>
  <c r="A176" i="2"/>
  <c r="B31" i="2" s="1"/>
  <c r="D176" i="2"/>
  <c r="E176" i="2"/>
  <c r="F176" i="2"/>
  <c r="A177" i="2"/>
  <c r="B177" i="2" s="1"/>
  <c r="D177" i="2"/>
  <c r="E177" i="2"/>
  <c r="F177" i="2"/>
  <c r="A178" i="2"/>
  <c r="D178" i="2"/>
  <c r="E178" i="2"/>
  <c r="F178" i="2"/>
  <c r="A179" i="2"/>
  <c r="B179" i="2" s="1"/>
  <c r="D179" i="2"/>
  <c r="E179" i="2"/>
  <c r="F179" i="2"/>
  <c r="A180" i="2"/>
  <c r="C180" i="2" s="1"/>
  <c r="D180" i="2"/>
  <c r="E180" i="2"/>
  <c r="F180" i="2"/>
  <c r="A181" i="2"/>
  <c r="D181" i="2"/>
  <c r="E181" i="2"/>
  <c r="F181" i="2"/>
  <c r="A182" i="2"/>
  <c r="B182" i="2" s="1"/>
  <c r="D182" i="2"/>
  <c r="E182" i="2"/>
  <c r="F182" i="2"/>
  <c r="A183" i="2"/>
  <c r="D183" i="2"/>
  <c r="E183" i="2"/>
  <c r="F183" i="2"/>
  <c r="A184" i="2"/>
  <c r="D184" i="2"/>
  <c r="E184" i="2"/>
  <c r="F184" i="2"/>
  <c r="A185" i="2"/>
  <c r="D185" i="2"/>
  <c r="E185" i="2"/>
  <c r="F185" i="2"/>
  <c r="A186" i="2"/>
  <c r="D186" i="2"/>
  <c r="E186" i="2"/>
  <c r="F186" i="2"/>
  <c r="A187" i="2"/>
  <c r="D187" i="2"/>
  <c r="E187" i="2"/>
  <c r="F187" i="2"/>
  <c r="A188" i="2"/>
  <c r="D188" i="2"/>
  <c r="E188" i="2"/>
  <c r="F188" i="2"/>
  <c r="A189" i="2"/>
  <c r="D189" i="2"/>
  <c r="E189" i="2"/>
  <c r="F189" i="2"/>
  <c r="A190" i="2"/>
  <c r="D190" i="2"/>
  <c r="E190" i="2"/>
  <c r="F190" i="2"/>
  <c r="A191" i="2"/>
  <c r="D191" i="2"/>
  <c r="E191" i="2"/>
  <c r="F191" i="2"/>
  <c r="A192" i="2"/>
  <c r="B192" i="2" s="1"/>
  <c r="D192" i="2"/>
  <c r="E192" i="2"/>
  <c r="F192" i="2"/>
  <c r="A193" i="2"/>
  <c r="B193" i="2"/>
  <c r="D193" i="2"/>
  <c r="E193" i="2"/>
  <c r="F193" i="2"/>
  <c r="A194" i="2"/>
  <c r="D194" i="2"/>
  <c r="E194" i="2"/>
  <c r="F194" i="2"/>
  <c r="A195" i="2"/>
  <c r="D195" i="2"/>
  <c r="E195" i="2"/>
  <c r="F195" i="2"/>
  <c r="A196" i="2"/>
  <c r="C196" i="2" s="1"/>
  <c r="D196" i="2"/>
  <c r="E196" i="2"/>
  <c r="F196" i="2"/>
  <c r="A197" i="2"/>
  <c r="B197" i="2" s="1"/>
  <c r="D197" i="2"/>
  <c r="E197" i="2"/>
  <c r="F197" i="2"/>
  <c r="A198" i="2"/>
  <c r="D198" i="2"/>
  <c r="E198" i="2"/>
  <c r="F198" i="2"/>
  <c r="A199" i="2"/>
  <c r="D199" i="2"/>
  <c r="E199" i="2"/>
  <c r="F199" i="2"/>
  <c r="A200" i="2"/>
  <c r="C200" i="2"/>
  <c r="D200" i="2"/>
  <c r="E200" i="2"/>
  <c r="F200" i="2"/>
  <c r="A201" i="2"/>
  <c r="D201" i="2"/>
  <c r="E201" i="2"/>
  <c r="F201" i="2"/>
  <c r="A202" i="2"/>
  <c r="D202" i="2"/>
  <c r="E202" i="2"/>
  <c r="F202" i="2"/>
  <c r="A203" i="2"/>
  <c r="D203" i="2"/>
  <c r="E203" i="2"/>
  <c r="F203" i="2"/>
  <c r="A204" i="2"/>
  <c r="D204" i="2"/>
  <c r="E204" i="2"/>
  <c r="F204" i="2"/>
  <c r="A205" i="2"/>
  <c r="B205" i="2"/>
  <c r="D205" i="2"/>
  <c r="E205" i="2"/>
  <c r="F205" i="2"/>
  <c r="A206" i="2"/>
  <c r="D206" i="2"/>
  <c r="E206" i="2"/>
  <c r="F206" i="2"/>
  <c r="A207" i="2"/>
  <c r="D207" i="2"/>
  <c r="E207" i="2"/>
  <c r="F207" i="2"/>
  <c r="A208" i="2"/>
  <c r="D208" i="2"/>
  <c r="E208" i="2"/>
  <c r="F208" i="2"/>
  <c r="A209" i="2"/>
  <c r="C209" i="2" s="1"/>
  <c r="D209" i="2"/>
  <c r="E209" i="2"/>
  <c r="F209" i="2"/>
  <c r="A210" i="2"/>
  <c r="D210" i="2"/>
  <c r="E210" i="2"/>
  <c r="F210" i="2"/>
  <c r="A211" i="2"/>
  <c r="D211" i="2"/>
  <c r="E211" i="2"/>
  <c r="F211" i="2"/>
  <c r="A212" i="2"/>
  <c r="C212" i="2" s="1"/>
  <c r="D212" i="2"/>
  <c r="E212" i="2"/>
  <c r="F212" i="2"/>
  <c r="A213" i="2"/>
  <c r="D213" i="2"/>
  <c r="E213" i="2"/>
  <c r="F213" i="2"/>
  <c r="A214" i="2"/>
  <c r="D214" i="2"/>
  <c r="E214" i="2"/>
  <c r="F214" i="2"/>
  <c r="A215" i="2"/>
  <c r="C215" i="2" s="1"/>
  <c r="D215" i="2"/>
  <c r="E215" i="2"/>
  <c r="F215" i="2"/>
  <c r="A216" i="2"/>
  <c r="D216" i="2"/>
  <c r="E216" i="2"/>
  <c r="F216" i="2"/>
  <c r="A217" i="2"/>
  <c r="D217" i="2"/>
  <c r="E217" i="2"/>
  <c r="F217" i="2"/>
  <c r="A218" i="2"/>
  <c r="D218" i="2"/>
  <c r="E218" i="2"/>
  <c r="F218" i="2"/>
  <c r="A219" i="2"/>
  <c r="D219" i="2"/>
  <c r="E219" i="2"/>
  <c r="F219" i="2"/>
  <c r="A220" i="2"/>
  <c r="D220" i="2"/>
  <c r="E220" i="2"/>
  <c r="F220" i="2"/>
  <c r="A221" i="2"/>
  <c r="D221" i="2"/>
  <c r="E221" i="2"/>
  <c r="F221" i="2"/>
  <c r="A222" i="2"/>
  <c r="D222" i="2"/>
  <c r="E222" i="2"/>
  <c r="F222" i="2"/>
  <c r="A223" i="2"/>
  <c r="C223" i="2" s="1"/>
  <c r="D223" i="2"/>
  <c r="E223" i="2"/>
  <c r="F223" i="2"/>
  <c r="A224" i="2"/>
  <c r="C224" i="2" s="1"/>
  <c r="D224" i="2"/>
  <c r="E224" i="2"/>
  <c r="F224" i="2"/>
  <c r="A225" i="2"/>
  <c r="D225" i="2"/>
  <c r="E225" i="2"/>
  <c r="F225" i="2"/>
  <c r="A226" i="2"/>
  <c r="D226" i="2"/>
  <c r="E226" i="2"/>
  <c r="F226" i="2"/>
  <c r="A227" i="2"/>
  <c r="D227" i="2"/>
  <c r="E227" i="2"/>
  <c r="F227" i="2"/>
  <c r="A228" i="2"/>
  <c r="B228" i="2" s="1"/>
  <c r="D228" i="2"/>
  <c r="E228" i="2"/>
  <c r="F228" i="2"/>
  <c r="A229" i="2"/>
  <c r="D229" i="2"/>
  <c r="E229" i="2"/>
  <c r="F229" i="2"/>
  <c r="A230" i="2"/>
  <c r="D230" i="2"/>
  <c r="E230" i="2"/>
  <c r="F230" i="2"/>
  <c r="A231" i="2"/>
  <c r="D231" i="2"/>
  <c r="E231" i="2"/>
  <c r="F231" i="2"/>
  <c r="A232" i="2"/>
  <c r="D232" i="2"/>
  <c r="E232" i="2"/>
  <c r="F232" i="2"/>
  <c r="A233" i="2"/>
  <c r="D233" i="2"/>
  <c r="E233" i="2"/>
  <c r="F233" i="2"/>
  <c r="A234" i="2"/>
  <c r="D234" i="2"/>
  <c r="E234" i="2"/>
  <c r="F234" i="2"/>
  <c r="A235" i="2"/>
  <c r="D235" i="2"/>
  <c r="E235" i="2"/>
  <c r="F235" i="2"/>
  <c r="A236" i="2"/>
  <c r="D236" i="2"/>
  <c r="E236" i="2"/>
  <c r="F236" i="2"/>
  <c r="A237" i="2"/>
  <c r="D237" i="2"/>
  <c r="E237" i="2"/>
  <c r="F237" i="2"/>
  <c r="A238" i="2"/>
  <c r="D238" i="2"/>
  <c r="E238" i="2"/>
  <c r="F238" i="2"/>
  <c r="A239" i="2"/>
  <c r="D239" i="2"/>
  <c r="E239" i="2"/>
  <c r="F239" i="2"/>
  <c r="A240" i="2"/>
  <c r="D240" i="2"/>
  <c r="E240" i="2"/>
  <c r="F240" i="2"/>
  <c r="A241" i="2"/>
  <c r="D241" i="2"/>
  <c r="E241" i="2"/>
  <c r="F241" i="2"/>
  <c r="A242" i="2"/>
  <c r="D242" i="2"/>
  <c r="E242" i="2"/>
  <c r="F242" i="2"/>
  <c r="A243" i="2"/>
  <c r="C243" i="2" s="1"/>
  <c r="D243" i="2"/>
  <c r="E243" i="2"/>
  <c r="F243" i="2"/>
  <c r="A244" i="2"/>
  <c r="D244" i="2"/>
  <c r="E244" i="2"/>
  <c r="F244" i="2"/>
  <c r="A245" i="2"/>
  <c r="D245" i="2"/>
  <c r="E245" i="2"/>
  <c r="F245" i="2"/>
  <c r="A246" i="2"/>
  <c r="D246" i="2"/>
  <c r="E246" i="2"/>
  <c r="F246" i="2"/>
  <c r="A247" i="2"/>
  <c r="D247" i="2"/>
  <c r="E247" i="2"/>
  <c r="F247" i="2"/>
  <c r="A248" i="2"/>
  <c r="B248" i="2" s="1"/>
  <c r="D248" i="2"/>
  <c r="E248" i="2"/>
  <c r="F248" i="2"/>
  <c r="A249" i="2"/>
  <c r="D249" i="2"/>
  <c r="E249" i="2"/>
  <c r="F249" i="2"/>
  <c r="A250" i="2"/>
  <c r="D250" i="2"/>
  <c r="E250" i="2"/>
  <c r="F250" i="2"/>
  <c r="A251" i="2"/>
  <c r="D251" i="2"/>
  <c r="E251" i="2"/>
  <c r="F251" i="2"/>
  <c r="A252" i="2"/>
  <c r="D252" i="2"/>
  <c r="E252" i="2"/>
  <c r="F252" i="2"/>
  <c r="A253" i="2"/>
  <c r="C253" i="2" s="1"/>
  <c r="D253" i="2"/>
  <c r="E253" i="2"/>
  <c r="F253" i="2"/>
  <c r="A254" i="2"/>
  <c r="D254" i="2"/>
  <c r="E254" i="2"/>
  <c r="F254" i="2"/>
  <c r="A255" i="2"/>
  <c r="D255" i="2"/>
  <c r="E255" i="2"/>
  <c r="F255" i="2"/>
  <c r="A256" i="2"/>
  <c r="D256" i="2"/>
  <c r="E256" i="2"/>
  <c r="F256" i="2"/>
  <c r="A257" i="2"/>
  <c r="D257" i="2"/>
  <c r="E257" i="2"/>
  <c r="F257" i="2"/>
  <c r="A258" i="2"/>
  <c r="B17" i="2" s="1"/>
  <c r="D258" i="2"/>
  <c r="E258" i="2"/>
  <c r="F258" i="2"/>
  <c r="A259" i="2"/>
  <c r="D259" i="2"/>
  <c r="E259" i="2"/>
  <c r="F259" i="2"/>
  <c r="A260" i="2"/>
  <c r="D260" i="2"/>
  <c r="E260" i="2"/>
  <c r="F260" i="2"/>
  <c r="A261" i="2"/>
  <c r="D261" i="2"/>
  <c r="E261" i="2"/>
  <c r="F261" i="2"/>
  <c r="A262" i="2"/>
  <c r="D262" i="2"/>
  <c r="E262" i="2"/>
  <c r="F262" i="2"/>
  <c r="A263" i="2"/>
  <c r="B263" i="2" s="1"/>
  <c r="D263" i="2"/>
  <c r="E263" i="2"/>
  <c r="F263" i="2"/>
  <c r="A264" i="2"/>
  <c r="B264" i="2" s="1"/>
  <c r="D264" i="2"/>
  <c r="E264" i="2"/>
  <c r="F264" i="2"/>
  <c r="A265" i="2"/>
  <c r="D265" i="2"/>
  <c r="E265" i="2"/>
  <c r="F265" i="2"/>
  <c r="A266" i="2"/>
  <c r="D266" i="2"/>
  <c r="E266" i="2"/>
  <c r="F266" i="2"/>
  <c r="A267" i="2"/>
  <c r="D267" i="2"/>
  <c r="E267" i="2"/>
  <c r="F267" i="2"/>
  <c r="A268" i="2"/>
  <c r="C164" i="2" s="1"/>
  <c r="D268" i="2"/>
  <c r="E268" i="2"/>
  <c r="F268" i="2"/>
  <c r="A269" i="2"/>
  <c r="B269" i="2"/>
  <c r="D269" i="2"/>
  <c r="E269" i="2"/>
  <c r="F269" i="2"/>
  <c r="A270" i="2"/>
  <c r="D270" i="2"/>
  <c r="E270" i="2"/>
  <c r="F270" i="2"/>
  <c r="A271" i="2"/>
  <c r="C271" i="2" s="1"/>
  <c r="D271" i="2"/>
  <c r="E271" i="2"/>
  <c r="F271" i="2"/>
  <c r="A272" i="2"/>
  <c r="B272" i="2"/>
  <c r="C272" i="2"/>
  <c r="D272" i="2"/>
  <c r="E272" i="2"/>
  <c r="F272" i="2"/>
  <c r="A273" i="2"/>
  <c r="C273" i="2" s="1"/>
  <c r="B273" i="2"/>
  <c r="D273" i="2"/>
  <c r="E273" i="2"/>
  <c r="F273" i="2"/>
  <c r="A274" i="2"/>
  <c r="D274" i="2"/>
  <c r="E274" i="2"/>
  <c r="F274" i="2"/>
  <c r="A275" i="2"/>
  <c r="D275" i="2"/>
  <c r="E275" i="2"/>
  <c r="F275" i="2"/>
  <c r="A276" i="2"/>
  <c r="D276" i="2"/>
  <c r="E276" i="2"/>
  <c r="F276" i="2"/>
  <c r="A277" i="2"/>
  <c r="B61" i="2" s="1"/>
  <c r="D277" i="2"/>
  <c r="E277" i="2"/>
  <c r="F277" i="2"/>
  <c r="A278" i="2"/>
  <c r="B278" i="2" s="1"/>
  <c r="C278" i="2"/>
  <c r="D278" i="2"/>
  <c r="E278" i="2"/>
  <c r="F278" i="2"/>
  <c r="A279" i="2"/>
  <c r="B279" i="2" s="1"/>
  <c r="C279" i="2"/>
  <c r="D279" i="2"/>
  <c r="E279" i="2"/>
  <c r="F279" i="2"/>
  <c r="A280" i="2"/>
  <c r="D280" i="2"/>
  <c r="E280" i="2"/>
  <c r="F280" i="2"/>
  <c r="A281" i="2"/>
  <c r="B200" i="2" s="1"/>
  <c r="D281" i="2"/>
  <c r="E281" i="2"/>
  <c r="F281" i="2"/>
  <c r="A282" i="2"/>
  <c r="D282" i="2"/>
  <c r="E282" i="2"/>
  <c r="F282" i="2"/>
  <c r="A283" i="2"/>
  <c r="C283" i="2" s="1"/>
  <c r="D283" i="2"/>
  <c r="E283" i="2"/>
  <c r="F283" i="2"/>
  <c r="A284" i="2"/>
  <c r="D284" i="2"/>
  <c r="E284" i="2"/>
  <c r="F284" i="2"/>
  <c r="A285" i="2"/>
  <c r="D285" i="2"/>
  <c r="E285" i="2"/>
  <c r="F285" i="2"/>
  <c r="A286" i="2"/>
  <c r="B286" i="2" s="1"/>
  <c r="D286" i="2"/>
  <c r="E286" i="2"/>
  <c r="F286" i="2"/>
  <c r="A287" i="2"/>
  <c r="D287" i="2"/>
  <c r="E287" i="2"/>
  <c r="F287" i="2"/>
  <c r="A288" i="2"/>
  <c r="D288" i="2"/>
  <c r="E288" i="2"/>
  <c r="F288" i="2"/>
  <c r="A289" i="2"/>
  <c r="C289" i="2" s="1"/>
  <c r="D289" i="2"/>
  <c r="E289" i="2"/>
  <c r="F289" i="2"/>
  <c r="A290" i="2"/>
  <c r="D290" i="2"/>
  <c r="E290" i="2"/>
  <c r="F290" i="2"/>
  <c r="A291" i="2"/>
  <c r="D291" i="2"/>
  <c r="E291" i="2"/>
  <c r="F291" i="2"/>
  <c r="A292" i="2"/>
  <c r="C292" i="2" s="1"/>
  <c r="D292" i="2"/>
  <c r="E292" i="2"/>
  <c r="F292" i="2"/>
  <c r="A293" i="2"/>
  <c r="D293" i="2"/>
  <c r="E293" i="2"/>
  <c r="F293" i="2"/>
  <c r="A294" i="2"/>
  <c r="D294" i="2"/>
  <c r="E294" i="2"/>
  <c r="F294" i="2"/>
  <c r="A295" i="2"/>
  <c r="D295" i="2"/>
  <c r="E295" i="2"/>
  <c r="F295" i="2"/>
  <c r="A296" i="2"/>
  <c r="D296" i="2"/>
  <c r="E296" i="2"/>
  <c r="F296" i="2"/>
  <c r="A297" i="2"/>
  <c r="C297" i="2" s="1"/>
  <c r="D297" i="2"/>
  <c r="E297" i="2"/>
  <c r="F297" i="2"/>
  <c r="A298" i="2"/>
  <c r="D298" i="2"/>
  <c r="E298" i="2"/>
  <c r="F298" i="2"/>
  <c r="A299" i="2"/>
  <c r="D299" i="2"/>
  <c r="E299" i="2"/>
  <c r="F299" i="2"/>
  <c r="A300" i="2"/>
  <c r="B300" i="2" s="1"/>
  <c r="D300" i="2"/>
  <c r="E300" i="2"/>
  <c r="F300" i="2"/>
  <c r="A301" i="2"/>
  <c r="D301" i="2"/>
  <c r="E301" i="2"/>
  <c r="F301" i="2"/>
  <c r="A302" i="2"/>
  <c r="D302" i="2"/>
  <c r="E302" i="2"/>
  <c r="F302" i="2"/>
  <c r="A303" i="2"/>
  <c r="D303" i="2"/>
  <c r="E303" i="2"/>
  <c r="F303" i="2"/>
  <c r="A304" i="2"/>
  <c r="D304" i="2"/>
  <c r="E304" i="2"/>
  <c r="F304" i="2"/>
  <c r="A305" i="2"/>
  <c r="D305" i="2"/>
  <c r="E305" i="2"/>
  <c r="F305" i="2"/>
  <c r="A306" i="2"/>
  <c r="D306" i="2"/>
  <c r="E306" i="2"/>
  <c r="F306" i="2"/>
  <c r="A307" i="2"/>
  <c r="D307" i="2"/>
  <c r="E307" i="2"/>
  <c r="F307" i="2"/>
  <c r="A308" i="2"/>
  <c r="D308" i="2"/>
  <c r="E308" i="2"/>
  <c r="F308" i="2"/>
  <c r="A309" i="2"/>
  <c r="B11" i="2" s="1"/>
  <c r="D309" i="2"/>
  <c r="E309" i="2"/>
  <c r="F309" i="2"/>
  <c r="A310" i="2"/>
  <c r="D310" i="2"/>
  <c r="E310" i="2"/>
  <c r="F310" i="2"/>
  <c r="A311" i="2"/>
  <c r="D311" i="2"/>
  <c r="E311" i="2"/>
  <c r="F311" i="2"/>
  <c r="A312" i="2"/>
  <c r="C312" i="2" s="1"/>
  <c r="D312" i="2"/>
  <c r="E312" i="2"/>
  <c r="F312" i="2"/>
  <c r="A313" i="2"/>
  <c r="D313" i="2"/>
  <c r="E313" i="2"/>
  <c r="F313" i="2"/>
  <c r="A314" i="2"/>
  <c r="B314" i="2" s="1"/>
  <c r="D314" i="2"/>
  <c r="E314" i="2"/>
  <c r="F314" i="2"/>
  <c r="A315" i="2"/>
  <c r="D315" i="2"/>
  <c r="E315" i="2"/>
  <c r="F315" i="2"/>
  <c r="A316" i="2"/>
  <c r="B87" i="2" s="1"/>
  <c r="D316" i="2"/>
  <c r="E316" i="2"/>
  <c r="F316" i="2"/>
  <c r="A317" i="2"/>
  <c r="C317" i="2" s="1"/>
  <c r="B317" i="2"/>
  <c r="D317" i="2"/>
  <c r="E317" i="2"/>
  <c r="F317" i="2"/>
  <c r="A318" i="2"/>
  <c r="D318" i="2"/>
  <c r="E318" i="2"/>
  <c r="F318" i="2"/>
  <c r="A319" i="2"/>
  <c r="B319" i="2" s="1"/>
  <c r="D319" i="2"/>
  <c r="E319" i="2"/>
  <c r="F319" i="2"/>
  <c r="A320" i="2"/>
  <c r="D320" i="2"/>
  <c r="E320" i="2"/>
  <c r="F320" i="2"/>
  <c r="A321" i="2"/>
  <c r="D321" i="2"/>
  <c r="E321" i="2"/>
  <c r="F321" i="2"/>
  <c r="A322" i="2"/>
  <c r="D322" i="2"/>
  <c r="E322" i="2"/>
  <c r="F322" i="2"/>
  <c r="A323" i="2"/>
  <c r="D323" i="2"/>
  <c r="E323" i="2"/>
  <c r="F323" i="2"/>
  <c r="A324" i="2"/>
  <c r="D324" i="2"/>
  <c r="E324" i="2"/>
  <c r="F324" i="2"/>
  <c r="A325" i="2"/>
  <c r="D325" i="2"/>
  <c r="E325" i="2"/>
  <c r="F325" i="2"/>
  <c r="A326" i="2"/>
  <c r="C326" i="2"/>
  <c r="D326" i="2"/>
  <c r="E326" i="2"/>
  <c r="F326" i="2"/>
  <c r="A327" i="2"/>
  <c r="D327" i="2"/>
  <c r="E327" i="2"/>
  <c r="F327" i="2"/>
  <c r="A328" i="2"/>
  <c r="D328" i="2"/>
  <c r="E328" i="2"/>
  <c r="F328" i="2"/>
  <c r="A329" i="2"/>
  <c r="D329" i="2"/>
  <c r="E329" i="2"/>
  <c r="F329" i="2"/>
  <c r="A330" i="2"/>
  <c r="D330" i="2"/>
  <c r="E330" i="2"/>
  <c r="F330" i="2"/>
  <c r="A331" i="2"/>
  <c r="C331" i="2" s="1"/>
  <c r="D331" i="2"/>
  <c r="E331" i="2"/>
  <c r="F331" i="2"/>
  <c r="A332" i="2"/>
  <c r="D332" i="2"/>
  <c r="E332" i="2"/>
  <c r="F332" i="2"/>
  <c r="A333" i="2"/>
  <c r="B333" i="2" s="1"/>
  <c r="D333" i="2"/>
  <c r="E333" i="2"/>
  <c r="F333" i="2"/>
  <c r="A334" i="2"/>
  <c r="D334" i="2"/>
  <c r="E334" i="2"/>
  <c r="F334" i="2"/>
  <c r="A335" i="2"/>
  <c r="B175" i="2" s="1"/>
  <c r="D335" i="2"/>
  <c r="E335" i="2"/>
  <c r="F335" i="2"/>
  <c r="A336" i="2"/>
  <c r="B336" i="2" s="1"/>
  <c r="D336" i="2"/>
  <c r="E336" i="2"/>
  <c r="F336" i="2"/>
  <c r="A337" i="2"/>
  <c r="D337" i="2"/>
  <c r="E337" i="2"/>
  <c r="F337" i="2"/>
  <c r="A338" i="2"/>
  <c r="D338" i="2"/>
  <c r="E338" i="2"/>
  <c r="F338" i="2"/>
  <c r="A339" i="2"/>
  <c r="D339" i="2"/>
  <c r="E339" i="2"/>
  <c r="F339" i="2"/>
  <c r="A340" i="2"/>
  <c r="D340" i="2"/>
  <c r="E340" i="2"/>
  <c r="F340" i="2"/>
  <c r="A341" i="2"/>
  <c r="B341" i="2" s="1"/>
  <c r="D341" i="2"/>
  <c r="E341" i="2"/>
  <c r="F341" i="2"/>
  <c r="A342" i="2"/>
  <c r="D342" i="2"/>
  <c r="E342" i="2"/>
  <c r="F342" i="2"/>
  <c r="A343" i="2"/>
  <c r="B343" i="2" s="1"/>
  <c r="D343" i="2"/>
  <c r="E343" i="2"/>
  <c r="F343" i="2"/>
  <c r="A344" i="2"/>
  <c r="B96" i="2" s="1"/>
  <c r="D344" i="2"/>
  <c r="E344" i="2"/>
  <c r="F344" i="2"/>
  <c r="A345" i="2"/>
  <c r="D345" i="2"/>
  <c r="E345" i="2"/>
  <c r="F345" i="2"/>
  <c r="A346" i="2"/>
  <c r="D346" i="2"/>
  <c r="E346" i="2"/>
  <c r="F346" i="2"/>
  <c r="A347" i="2"/>
  <c r="D347" i="2"/>
  <c r="E347" i="2"/>
  <c r="F347" i="2"/>
  <c r="A348" i="2"/>
  <c r="D348" i="2"/>
  <c r="E348" i="2"/>
  <c r="F348" i="2"/>
  <c r="A349" i="2"/>
  <c r="D349" i="2"/>
  <c r="E349" i="2"/>
  <c r="F349" i="2"/>
  <c r="A350" i="2"/>
  <c r="D350" i="2"/>
  <c r="E350" i="2"/>
  <c r="F350" i="2"/>
  <c r="A351" i="2"/>
  <c r="C351" i="2"/>
  <c r="D351" i="2"/>
  <c r="E351" i="2"/>
  <c r="F351" i="2"/>
  <c r="A352" i="2"/>
  <c r="D352" i="2"/>
  <c r="E352" i="2"/>
  <c r="F352" i="2"/>
  <c r="A353" i="2"/>
  <c r="B353" i="2" s="1"/>
  <c r="D353" i="2"/>
  <c r="E353" i="2"/>
  <c r="F353" i="2"/>
  <c r="A354" i="2"/>
  <c r="D354" i="2"/>
  <c r="E354" i="2"/>
  <c r="F354" i="2"/>
  <c r="A355" i="2"/>
  <c r="D355" i="2"/>
  <c r="E355" i="2"/>
  <c r="F355" i="2"/>
  <c r="A356" i="2"/>
  <c r="C356" i="2" s="1"/>
  <c r="D356" i="2"/>
  <c r="E356" i="2"/>
  <c r="F356" i="2"/>
  <c r="A357" i="2"/>
  <c r="D357" i="2"/>
  <c r="E357" i="2"/>
  <c r="F357" i="2"/>
  <c r="A358" i="2"/>
  <c r="D358" i="2"/>
  <c r="E358" i="2"/>
  <c r="F358" i="2"/>
  <c r="A359" i="2"/>
  <c r="D359" i="2"/>
  <c r="E359" i="2"/>
  <c r="F359" i="2"/>
  <c r="A360" i="2"/>
  <c r="D360" i="2"/>
  <c r="E360" i="2"/>
  <c r="F360" i="2"/>
  <c r="A361" i="2"/>
  <c r="D361" i="2"/>
  <c r="E361" i="2"/>
  <c r="F361" i="2"/>
  <c r="A362" i="2"/>
  <c r="D362" i="2"/>
  <c r="E362" i="2"/>
  <c r="F362" i="2"/>
  <c r="A363" i="2"/>
  <c r="D363" i="2"/>
  <c r="E363" i="2"/>
  <c r="F363" i="2"/>
  <c r="A364" i="2"/>
  <c r="D364" i="2"/>
  <c r="E364" i="2"/>
  <c r="F364" i="2"/>
  <c r="A365" i="2"/>
  <c r="B365" i="2" s="1"/>
  <c r="D365" i="2"/>
  <c r="E365" i="2"/>
  <c r="F365" i="2"/>
  <c r="A366" i="2"/>
  <c r="D366" i="2"/>
  <c r="E366" i="2"/>
  <c r="F366" i="2"/>
  <c r="A367" i="2"/>
  <c r="D367" i="2"/>
  <c r="E367" i="2"/>
  <c r="F367" i="2"/>
  <c r="A368" i="2"/>
  <c r="D368" i="2"/>
  <c r="E368" i="2"/>
  <c r="F368" i="2"/>
  <c r="A369" i="2"/>
  <c r="D369" i="2"/>
  <c r="E369" i="2"/>
  <c r="F369" i="2"/>
  <c r="A370" i="2"/>
  <c r="D370" i="2"/>
  <c r="E370" i="2"/>
  <c r="F370" i="2"/>
  <c r="A371" i="2"/>
  <c r="D371" i="2"/>
  <c r="E371" i="2"/>
  <c r="F371" i="2"/>
  <c r="A372" i="2"/>
  <c r="D372" i="2"/>
  <c r="E372" i="2"/>
  <c r="F372" i="2"/>
  <c r="A373" i="2"/>
  <c r="D373" i="2"/>
  <c r="E373" i="2"/>
  <c r="F373" i="2"/>
  <c r="A374" i="2"/>
  <c r="B374" i="2" s="1"/>
  <c r="D374" i="2"/>
  <c r="E374" i="2"/>
  <c r="F374" i="2"/>
  <c r="A375" i="2"/>
  <c r="D375" i="2"/>
  <c r="E375" i="2"/>
  <c r="F375" i="2"/>
  <c r="A376" i="2"/>
  <c r="D376" i="2"/>
  <c r="E376" i="2"/>
  <c r="F376" i="2"/>
  <c r="A377" i="2"/>
  <c r="D377" i="2"/>
  <c r="E377" i="2"/>
  <c r="F377" i="2"/>
  <c r="A378" i="2"/>
  <c r="B378" i="2" s="1"/>
  <c r="D378" i="2"/>
  <c r="E378" i="2"/>
  <c r="F378" i="2"/>
  <c r="A379" i="2"/>
  <c r="C140" i="2" s="1"/>
  <c r="D379" i="2"/>
  <c r="E379" i="2"/>
  <c r="F379" i="2"/>
  <c r="A380" i="2"/>
  <c r="D380" i="2"/>
  <c r="E380" i="2"/>
  <c r="F380" i="2"/>
  <c r="A381" i="2"/>
  <c r="D381" i="2"/>
  <c r="E381" i="2"/>
  <c r="F381" i="2"/>
  <c r="A382" i="2"/>
  <c r="D382" i="2"/>
  <c r="E382" i="2"/>
  <c r="F382" i="2"/>
  <c r="A383" i="2"/>
  <c r="D383" i="2"/>
  <c r="E383" i="2"/>
  <c r="F383" i="2"/>
  <c r="A384" i="2"/>
  <c r="D384" i="2"/>
  <c r="E384" i="2"/>
  <c r="F384" i="2"/>
  <c r="A385" i="2"/>
  <c r="D385" i="2"/>
  <c r="E385" i="2"/>
  <c r="F385" i="2"/>
  <c r="A386" i="2"/>
  <c r="D386" i="2"/>
  <c r="E386" i="2"/>
  <c r="F386" i="2"/>
  <c r="A387" i="2"/>
  <c r="C387" i="2" s="1"/>
  <c r="D387" i="2"/>
  <c r="E387" i="2"/>
  <c r="F387" i="2"/>
  <c r="A388" i="2"/>
  <c r="D388" i="2"/>
  <c r="E388" i="2"/>
  <c r="F388" i="2"/>
  <c r="A389" i="2"/>
  <c r="D389" i="2"/>
  <c r="E389" i="2"/>
  <c r="F389" i="2"/>
  <c r="A390" i="2"/>
  <c r="D390" i="2"/>
  <c r="E390" i="2"/>
  <c r="F390" i="2"/>
  <c r="A391" i="2"/>
  <c r="D391" i="2"/>
  <c r="E391" i="2"/>
  <c r="F391" i="2"/>
  <c r="A392" i="2"/>
  <c r="D392" i="2"/>
  <c r="E392" i="2"/>
  <c r="F392" i="2"/>
  <c r="A393" i="2"/>
  <c r="B283" i="2" s="1"/>
  <c r="D393" i="2"/>
  <c r="E393" i="2"/>
  <c r="F393" i="2"/>
  <c r="A394" i="2"/>
  <c r="C394" i="2" s="1"/>
  <c r="D394" i="2"/>
  <c r="E394" i="2"/>
  <c r="F394" i="2"/>
  <c r="A395" i="2"/>
  <c r="D395" i="2"/>
  <c r="E395" i="2"/>
  <c r="F395" i="2"/>
  <c r="A396" i="2"/>
  <c r="D396" i="2"/>
  <c r="E396" i="2"/>
  <c r="F396" i="2"/>
  <c r="A397" i="2"/>
  <c r="D397" i="2"/>
  <c r="E397" i="2"/>
  <c r="F397" i="2"/>
  <c r="A398" i="2"/>
  <c r="D398" i="2"/>
  <c r="E398" i="2"/>
  <c r="F398" i="2"/>
  <c r="A399" i="2"/>
  <c r="C399" i="2" s="1"/>
  <c r="D399" i="2"/>
  <c r="E399" i="2"/>
  <c r="F399" i="2"/>
  <c r="A400" i="2"/>
  <c r="B400" i="2" s="1"/>
  <c r="D400" i="2"/>
  <c r="E400" i="2"/>
  <c r="F400" i="2"/>
  <c r="A401" i="2"/>
  <c r="D401" i="2"/>
  <c r="E401" i="2"/>
  <c r="F401" i="2"/>
  <c r="A402" i="2"/>
  <c r="D402" i="2"/>
  <c r="E402" i="2"/>
  <c r="F402" i="2"/>
  <c r="A403" i="2"/>
  <c r="D403" i="2"/>
  <c r="E403" i="2"/>
  <c r="F403" i="2"/>
  <c r="A404" i="2"/>
  <c r="D404" i="2"/>
  <c r="E404" i="2"/>
  <c r="F404" i="2"/>
  <c r="A405" i="2"/>
  <c r="B88" i="2" s="1"/>
  <c r="D405" i="2"/>
  <c r="E405" i="2"/>
  <c r="F405" i="2"/>
  <c r="A406" i="2"/>
  <c r="D406" i="2"/>
  <c r="E406" i="2"/>
  <c r="F406" i="2"/>
  <c r="A407" i="2"/>
  <c r="D407" i="2"/>
  <c r="E407" i="2"/>
  <c r="F407" i="2"/>
  <c r="A408" i="2"/>
  <c r="B408" i="2" s="1"/>
  <c r="D408" i="2"/>
  <c r="E408" i="2"/>
  <c r="F408" i="2"/>
  <c r="A409" i="2"/>
  <c r="B409" i="2" s="1"/>
  <c r="D409" i="2"/>
  <c r="E409" i="2"/>
  <c r="F409" i="2"/>
  <c r="A410" i="2"/>
  <c r="D410" i="2"/>
  <c r="E410" i="2"/>
  <c r="F410" i="2"/>
  <c r="A411" i="2"/>
  <c r="D411" i="2"/>
  <c r="E411" i="2"/>
  <c r="F411" i="2"/>
  <c r="A412" i="2"/>
  <c r="B412" i="2" s="1"/>
  <c r="C412" i="2"/>
  <c r="D412" i="2"/>
  <c r="E412" i="2"/>
  <c r="F412" i="2"/>
  <c r="A413" i="2"/>
  <c r="B413" i="2" s="1"/>
  <c r="D413" i="2"/>
  <c r="E413" i="2"/>
  <c r="F413" i="2"/>
  <c r="A414" i="2"/>
  <c r="B414" i="2" s="1"/>
  <c r="D414" i="2"/>
  <c r="E414" i="2"/>
  <c r="F414" i="2"/>
  <c r="A415" i="2"/>
  <c r="D415" i="2"/>
  <c r="E415" i="2"/>
  <c r="F415" i="2"/>
  <c r="A416" i="2"/>
  <c r="D416" i="2"/>
  <c r="E416" i="2"/>
  <c r="F416" i="2"/>
  <c r="A417" i="2"/>
  <c r="D417" i="2"/>
  <c r="E417" i="2"/>
  <c r="F417" i="2"/>
  <c r="A418" i="2"/>
  <c r="D418" i="2"/>
  <c r="E418" i="2"/>
  <c r="F418" i="2"/>
  <c r="A419" i="2"/>
  <c r="D419" i="2"/>
  <c r="E419" i="2"/>
  <c r="F419" i="2"/>
  <c r="A420" i="2"/>
  <c r="D420" i="2"/>
  <c r="E420" i="2"/>
  <c r="F420" i="2"/>
  <c r="A421" i="2"/>
  <c r="D421" i="2"/>
  <c r="E421" i="2"/>
  <c r="F421" i="2"/>
  <c r="A422" i="2"/>
  <c r="B422" i="2" s="1"/>
  <c r="D422" i="2"/>
  <c r="E422" i="2"/>
  <c r="F422" i="2"/>
  <c r="A423" i="2"/>
  <c r="D423" i="2"/>
  <c r="E423" i="2"/>
  <c r="F423" i="2"/>
  <c r="A424" i="2"/>
  <c r="D424" i="2"/>
  <c r="E424" i="2"/>
  <c r="F424" i="2"/>
  <c r="A425" i="2"/>
  <c r="D425" i="2"/>
  <c r="E425" i="2"/>
  <c r="F425" i="2"/>
  <c r="A426" i="2"/>
  <c r="D426" i="2"/>
  <c r="E426" i="2"/>
  <c r="F426" i="2"/>
  <c r="A427" i="2"/>
  <c r="C244" i="2" s="1"/>
  <c r="D427" i="2"/>
  <c r="E427" i="2"/>
  <c r="F427" i="2"/>
  <c r="A428" i="2"/>
  <c r="D428" i="2"/>
  <c r="E428" i="2"/>
  <c r="F428" i="2"/>
  <c r="A429" i="2"/>
  <c r="D429" i="2"/>
  <c r="E429" i="2"/>
  <c r="F429" i="2"/>
  <c r="A430" i="2"/>
  <c r="B85" i="2" s="1"/>
  <c r="D430" i="2"/>
  <c r="E430" i="2"/>
  <c r="F430" i="2"/>
  <c r="A431" i="2"/>
  <c r="D431" i="2"/>
  <c r="E431" i="2"/>
  <c r="F431" i="2"/>
  <c r="A432" i="2"/>
  <c r="D432" i="2"/>
  <c r="E432" i="2"/>
  <c r="F432" i="2"/>
  <c r="A433" i="2"/>
  <c r="D433" i="2"/>
  <c r="E433" i="2"/>
  <c r="F433" i="2"/>
  <c r="A434" i="2"/>
  <c r="D434" i="2"/>
  <c r="E434" i="2"/>
  <c r="F434" i="2"/>
  <c r="A435" i="2"/>
  <c r="D435" i="2"/>
  <c r="E435" i="2"/>
  <c r="F435" i="2"/>
  <c r="A436" i="2"/>
  <c r="B436" i="2" s="1"/>
  <c r="D436" i="2"/>
  <c r="E436" i="2"/>
  <c r="F436" i="2"/>
  <c r="A437" i="2"/>
  <c r="B437" i="2" s="1"/>
  <c r="D437" i="2"/>
  <c r="E437" i="2"/>
  <c r="F437" i="2"/>
  <c r="A438" i="2"/>
  <c r="D438" i="2"/>
  <c r="E438" i="2"/>
  <c r="F438" i="2"/>
  <c r="A439" i="2"/>
  <c r="B439" i="2" s="1"/>
  <c r="D439" i="2"/>
  <c r="E439" i="2"/>
  <c r="F439" i="2"/>
  <c r="A440" i="2"/>
  <c r="D440" i="2"/>
  <c r="E440" i="2"/>
  <c r="F440" i="2"/>
  <c r="A441" i="2"/>
  <c r="D441" i="2"/>
  <c r="E441" i="2"/>
  <c r="F441" i="2"/>
  <c r="A442" i="2"/>
  <c r="D442" i="2"/>
  <c r="E442" i="2"/>
  <c r="F442" i="2"/>
  <c r="A443" i="2"/>
  <c r="C439" i="2" s="1"/>
  <c r="D443" i="2"/>
  <c r="E443" i="2"/>
  <c r="F443" i="2"/>
  <c r="A444" i="2"/>
  <c r="C323" i="2" s="1"/>
  <c r="D444" i="2"/>
  <c r="E444" i="2"/>
  <c r="F444" i="2"/>
  <c r="A445" i="2"/>
  <c r="D445" i="2"/>
  <c r="E445" i="2"/>
  <c r="F445" i="2"/>
  <c r="A446" i="2"/>
  <c r="D446" i="2"/>
  <c r="E446" i="2"/>
  <c r="F446" i="2"/>
  <c r="A447" i="2"/>
  <c r="D447" i="2"/>
  <c r="E447" i="2"/>
  <c r="F447" i="2"/>
  <c r="A448" i="2"/>
  <c r="B448" i="2" s="1"/>
  <c r="D448" i="2"/>
  <c r="E448" i="2"/>
  <c r="F448" i="2"/>
  <c r="A449" i="2"/>
  <c r="B449" i="2" s="1"/>
  <c r="C449" i="2"/>
  <c r="D449" i="2"/>
  <c r="E449" i="2"/>
  <c r="F449" i="2"/>
  <c r="A450" i="2"/>
  <c r="C450" i="2" s="1"/>
  <c r="D450" i="2"/>
  <c r="E450" i="2"/>
  <c r="F450" i="2"/>
  <c r="A451" i="2"/>
  <c r="D451" i="2"/>
  <c r="E451" i="2"/>
  <c r="F451" i="2"/>
  <c r="A452" i="2"/>
  <c r="D452" i="2"/>
  <c r="E452" i="2"/>
  <c r="F452" i="2"/>
  <c r="A453" i="2"/>
  <c r="C453" i="2" s="1"/>
  <c r="B453" i="2"/>
  <c r="D453" i="2"/>
  <c r="E453" i="2"/>
  <c r="F453" i="2"/>
  <c r="A454" i="2"/>
  <c r="C454" i="2"/>
  <c r="D454" i="2"/>
  <c r="E454" i="2"/>
  <c r="F454" i="2"/>
  <c r="A455" i="2"/>
  <c r="B455" i="2" s="1"/>
  <c r="D455" i="2"/>
  <c r="E455" i="2"/>
  <c r="F455" i="2"/>
  <c r="A456" i="2"/>
  <c r="D456" i="2"/>
  <c r="E456" i="2"/>
  <c r="F456" i="2"/>
  <c r="A457" i="2"/>
  <c r="C457" i="2" s="1"/>
  <c r="B457" i="2"/>
  <c r="D457" i="2"/>
  <c r="E457" i="2"/>
  <c r="F457" i="2"/>
  <c r="A458" i="2"/>
  <c r="D458" i="2"/>
  <c r="E458" i="2"/>
  <c r="F458" i="2"/>
  <c r="A459" i="2"/>
  <c r="D459" i="2"/>
  <c r="E459" i="2"/>
  <c r="F459" i="2"/>
  <c r="A460" i="2"/>
  <c r="B460" i="2" s="1"/>
  <c r="C460" i="2"/>
  <c r="D460" i="2"/>
  <c r="E460" i="2"/>
  <c r="F460" i="2"/>
  <c r="A461" i="2"/>
  <c r="C461" i="2" s="1"/>
  <c r="D461" i="2"/>
  <c r="E461" i="2"/>
  <c r="F461" i="2"/>
  <c r="A462" i="2"/>
  <c r="D462" i="2"/>
  <c r="E462" i="2"/>
  <c r="F462" i="2"/>
  <c r="A463" i="2"/>
  <c r="C267" i="2" s="1"/>
  <c r="D463" i="2"/>
  <c r="E463" i="2"/>
  <c r="F463" i="2"/>
  <c r="A464" i="2"/>
  <c r="D464" i="2"/>
  <c r="E464" i="2"/>
  <c r="F464" i="2"/>
  <c r="A465" i="2"/>
  <c r="B465" i="2" s="1"/>
  <c r="D465" i="2"/>
  <c r="E465" i="2"/>
  <c r="F465" i="2"/>
  <c r="A466" i="2"/>
  <c r="C466" i="2" s="1"/>
  <c r="D466" i="2"/>
  <c r="E466" i="2"/>
  <c r="F466" i="2"/>
  <c r="A467" i="2"/>
  <c r="D467" i="2"/>
  <c r="E467" i="2"/>
  <c r="F467" i="2"/>
  <c r="A468" i="2"/>
  <c r="B468" i="2" s="1"/>
  <c r="D468" i="2"/>
  <c r="E468" i="2"/>
  <c r="F468" i="2"/>
  <c r="A469" i="2"/>
  <c r="B23" i="2" s="1"/>
  <c r="D469" i="2"/>
  <c r="E469" i="2"/>
  <c r="F469" i="2"/>
  <c r="A470" i="2"/>
  <c r="B470" i="2" s="1"/>
  <c r="D470" i="2"/>
  <c r="E470" i="2"/>
  <c r="F470" i="2"/>
  <c r="A471" i="2"/>
  <c r="D471" i="2"/>
  <c r="E471" i="2"/>
  <c r="F471" i="2"/>
  <c r="A472" i="2"/>
  <c r="C472" i="2" s="1"/>
  <c r="D472" i="2"/>
  <c r="E472" i="2"/>
  <c r="F472" i="2"/>
  <c r="A473" i="2"/>
  <c r="D473" i="2"/>
  <c r="E473" i="2"/>
  <c r="F473" i="2"/>
  <c r="A474" i="2"/>
  <c r="C144" i="2" s="1"/>
  <c r="D474" i="2"/>
  <c r="E474" i="2"/>
  <c r="F474" i="2"/>
  <c r="A475" i="2"/>
  <c r="D475" i="2"/>
  <c r="E475" i="2"/>
  <c r="F475" i="2"/>
  <c r="A476" i="2"/>
  <c r="B476" i="2" s="1"/>
  <c r="D476" i="2"/>
  <c r="E476" i="2"/>
  <c r="F476" i="2"/>
  <c r="A477" i="2"/>
  <c r="D477" i="2"/>
  <c r="E477" i="2"/>
  <c r="F477" i="2"/>
  <c r="A478" i="2"/>
  <c r="D478" i="2"/>
  <c r="E478" i="2"/>
  <c r="F478" i="2"/>
  <c r="A479" i="2"/>
  <c r="B479" i="2" s="1"/>
  <c r="D479" i="2"/>
  <c r="E479" i="2"/>
  <c r="F479" i="2"/>
  <c r="A480" i="2"/>
  <c r="B480" i="2" s="1"/>
  <c r="D480" i="2"/>
  <c r="E480" i="2"/>
  <c r="F480" i="2"/>
  <c r="A481" i="2"/>
  <c r="D481" i="2"/>
  <c r="E481" i="2"/>
  <c r="F481" i="2"/>
  <c r="A482" i="2"/>
  <c r="D482" i="2"/>
  <c r="E482" i="2"/>
  <c r="F482" i="2"/>
  <c r="A483" i="2"/>
  <c r="B216" i="2" s="1"/>
  <c r="D483" i="2"/>
  <c r="E483" i="2"/>
  <c r="F483" i="2"/>
  <c r="A484" i="2"/>
  <c r="C484" i="2" s="1"/>
  <c r="D484" i="2"/>
  <c r="E484" i="2"/>
  <c r="F484" i="2"/>
  <c r="A485" i="2"/>
  <c r="B485" i="2" s="1"/>
  <c r="D485" i="2"/>
  <c r="E485" i="2"/>
  <c r="F485" i="2"/>
  <c r="A486" i="2"/>
  <c r="D486" i="2"/>
  <c r="E486" i="2"/>
  <c r="F486" i="2"/>
  <c r="A487" i="2"/>
  <c r="D487" i="2"/>
  <c r="E487" i="2"/>
  <c r="F487" i="2"/>
  <c r="A488" i="2"/>
  <c r="B488" i="2" s="1"/>
  <c r="D488" i="2"/>
  <c r="E488" i="2"/>
  <c r="F488" i="2"/>
  <c r="A489" i="2"/>
  <c r="C489" i="2" s="1"/>
  <c r="D489" i="2"/>
  <c r="E489" i="2"/>
  <c r="F489" i="2"/>
  <c r="A490" i="2"/>
  <c r="C490" i="2" s="1"/>
  <c r="D490" i="2"/>
  <c r="E490" i="2"/>
  <c r="F490" i="2"/>
  <c r="A491" i="2"/>
  <c r="D491" i="2"/>
  <c r="E491" i="2"/>
  <c r="F491" i="2"/>
  <c r="A492" i="2"/>
  <c r="D492" i="2"/>
  <c r="E492" i="2"/>
  <c r="F492" i="2"/>
  <c r="A493" i="2"/>
  <c r="D493" i="2"/>
  <c r="E493" i="2"/>
  <c r="F493" i="2"/>
  <c r="A494" i="2"/>
  <c r="B494" i="2" s="1"/>
  <c r="D494" i="2"/>
  <c r="E494" i="2"/>
  <c r="F494" i="2"/>
  <c r="A495" i="2"/>
  <c r="D495" i="2"/>
  <c r="E495" i="2"/>
  <c r="F495" i="2"/>
  <c r="A496" i="2"/>
  <c r="D496" i="2"/>
  <c r="E496" i="2"/>
  <c r="F496" i="2"/>
  <c r="A497" i="2"/>
  <c r="B497" i="2" s="1"/>
  <c r="D497" i="2"/>
  <c r="E497" i="2"/>
  <c r="F497" i="2"/>
  <c r="A498" i="2"/>
  <c r="C498" i="2" s="1"/>
  <c r="D498" i="2"/>
  <c r="E498" i="2"/>
  <c r="F498" i="2"/>
  <c r="A499" i="2"/>
  <c r="D499" i="2"/>
  <c r="E499" i="2"/>
  <c r="F499" i="2"/>
  <c r="A500" i="2"/>
  <c r="B500" i="2" s="1"/>
  <c r="D500" i="2"/>
  <c r="E500" i="2"/>
  <c r="F500" i="2"/>
  <c r="A501" i="2"/>
  <c r="D501" i="2"/>
  <c r="E501" i="2"/>
  <c r="F501" i="2"/>
  <c r="A502" i="2"/>
  <c r="D502" i="2"/>
  <c r="E502" i="2"/>
  <c r="F502" i="2"/>
  <c r="A503" i="2"/>
  <c r="D503" i="2"/>
  <c r="E503" i="2"/>
  <c r="F503" i="2"/>
  <c r="A504" i="2"/>
  <c r="D504" i="2"/>
  <c r="E504" i="2"/>
  <c r="F504" i="2"/>
  <c r="A505" i="2"/>
  <c r="C380" i="2" s="1"/>
  <c r="D505" i="2"/>
  <c r="E505" i="2"/>
  <c r="F505" i="2"/>
  <c r="A506" i="2"/>
  <c r="D506" i="2"/>
  <c r="E506" i="2"/>
  <c r="F506" i="2"/>
  <c r="A507" i="2"/>
  <c r="D507" i="2"/>
  <c r="E507" i="2"/>
  <c r="F507" i="2"/>
  <c r="A508" i="2"/>
  <c r="B508" i="2" s="1"/>
  <c r="D508" i="2"/>
  <c r="E508" i="2"/>
  <c r="F508" i="2"/>
  <c r="A509" i="2"/>
  <c r="B509" i="2" s="1"/>
  <c r="C509" i="2"/>
  <c r="D509" i="2"/>
  <c r="E509" i="2"/>
  <c r="F509" i="2"/>
  <c r="A510" i="2"/>
  <c r="B510" i="2" s="1"/>
  <c r="D510" i="2"/>
  <c r="E510" i="2"/>
  <c r="F510" i="2"/>
  <c r="A511" i="2"/>
  <c r="C511" i="2" s="1"/>
  <c r="D511" i="2"/>
  <c r="E511" i="2"/>
  <c r="F511" i="2"/>
  <c r="A512" i="2"/>
  <c r="D512" i="2"/>
  <c r="E512" i="2"/>
  <c r="F512" i="2"/>
  <c r="A513" i="2"/>
  <c r="B513" i="2" s="1"/>
  <c r="D513" i="2"/>
  <c r="E513" i="2"/>
  <c r="F513" i="2"/>
  <c r="A514" i="2"/>
  <c r="D514" i="2"/>
  <c r="E514" i="2"/>
  <c r="F514" i="2"/>
  <c r="A515" i="2"/>
  <c r="C515" i="2"/>
  <c r="D515" i="2"/>
  <c r="E515" i="2"/>
  <c r="F515" i="2"/>
  <c r="A516" i="2"/>
  <c r="D516" i="2"/>
  <c r="E516" i="2"/>
  <c r="F516" i="2"/>
  <c r="A517" i="2"/>
  <c r="D517" i="2"/>
  <c r="E517" i="2"/>
  <c r="F517" i="2"/>
  <c r="A518" i="2"/>
  <c r="B518" i="2" s="1"/>
  <c r="C518" i="2"/>
  <c r="D518" i="2"/>
  <c r="E518" i="2"/>
  <c r="F518" i="2"/>
  <c r="A519" i="2"/>
  <c r="B519" i="2" s="1"/>
  <c r="D519" i="2"/>
  <c r="E519" i="2"/>
  <c r="F519" i="2"/>
  <c r="A520" i="2"/>
  <c r="D520" i="2"/>
  <c r="E520" i="2"/>
  <c r="F520" i="2"/>
  <c r="A521" i="2"/>
  <c r="D521" i="2"/>
  <c r="E521" i="2"/>
  <c r="F521" i="2"/>
  <c r="A522" i="2"/>
  <c r="D522" i="2"/>
  <c r="E522" i="2"/>
  <c r="F522" i="2"/>
  <c r="A523" i="2"/>
  <c r="D523" i="2"/>
  <c r="E523" i="2"/>
  <c r="F523" i="2"/>
  <c r="A524" i="2"/>
  <c r="D524" i="2"/>
  <c r="E524" i="2"/>
  <c r="F524" i="2"/>
  <c r="A525" i="2"/>
  <c r="D525" i="2"/>
  <c r="E525" i="2"/>
  <c r="F525" i="2"/>
  <c r="A526" i="2"/>
  <c r="D526" i="2"/>
  <c r="E526" i="2"/>
  <c r="F526" i="2"/>
  <c r="A527" i="2"/>
  <c r="B527" i="2" s="1"/>
  <c r="D527" i="2"/>
  <c r="E527" i="2"/>
  <c r="F527" i="2"/>
  <c r="A528" i="2"/>
  <c r="C528" i="2" s="1"/>
  <c r="D528" i="2"/>
  <c r="E528" i="2"/>
  <c r="F528" i="2"/>
  <c r="A529" i="2"/>
  <c r="D529" i="2"/>
  <c r="E529" i="2"/>
  <c r="F529" i="2"/>
  <c r="A530" i="2"/>
  <c r="D530" i="2"/>
  <c r="E530" i="2"/>
  <c r="F530" i="2"/>
  <c r="A531" i="2"/>
  <c r="D531" i="2"/>
  <c r="E531" i="2"/>
  <c r="F531" i="2"/>
  <c r="A532" i="2"/>
  <c r="C532" i="2" s="1"/>
  <c r="D532" i="2"/>
  <c r="E532" i="2"/>
  <c r="F532" i="2"/>
  <c r="A533" i="2"/>
  <c r="D533" i="2"/>
  <c r="E533" i="2"/>
  <c r="F533" i="2"/>
  <c r="A534" i="2"/>
  <c r="D534" i="2"/>
  <c r="E534" i="2"/>
  <c r="F534" i="2"/>
  <c r="A535" i="2"/>
  <c r="D535" i="2"/>
  <c r="E535" i="2"/>
  <c r="F535" i="2"/>
  <c r="A536" i="2"/>
  <c r="B536" i="2" s="1"/>
  <c r="D536" i="2"/>
  <c r="E536" i="2"/>
  <c r="F536" i="2"/>
  <c r="A537" i="2"/>
  <c r="C537" i="2" s="1"/>
  <c r="B537" i="2"/>
  <c r="D537" i="2"/>
  <c r="E537" i="2"/>
  <c r="F537" i="2"/>
  <c r="A538" i="2"/>
  <c r="D538" i="2"/>
  <c r="E538" i="2"/>
  <c r="F538" i="2"/>
  <c r="A539" i="2"/>
  <c r="D539" i="2"/>
  <c r="E539" i="2"/>
  <c r="F539" i="2"/>
  <c r="A540" i="2"/>
  <c r="B540" i="2" s="1"/>
  <c r="D540" i="2"/>
  <c r="E540" i="2"/>
  <c r="F540" i="2"/>
  <c r="A541" i="2"/>
  <c r="C541" i="2" s="1"/>
  <c r="D541" i="2"/>
  <c r="E541" i="2"/>
  <c r="F541" i="2"/>
  <c r="A542" i="2"/>
  <c r="C542" i="2"/>
  <c r="D542" i="2"/>
  <c r="E542" i="2"/>
  <c r="F542" i="2"/>
  <c r="A543" i="2"/>
  <c r="B543" i="2" s="1"/>
  <c r="D543" i="2"/>
  <c r="E543" i="2"/>
  <c r="F543" i="2"/>
  <c r="A544" i="2"/>
  <c r="B544" i="2" s="1"/>
  <c r="D544" i="2"/>
  <c r="E544" i="2"/>
  <c r="F544" i="2"/>
  <c r="A545" i="2"/>
  <c r="D545" i="2"/>
  <c r="E545" i="2"/>
  <c r="F545" i="2"/>
  <c r="A546" i="2"/>
  <c r="D546" i="2"/>
  <c r="E546" i="2"/>
  <c r="F546" i="2"/>
  <c r="A547" i="2"/>
  <c r="D547" i="2"/>
  <c r="E547" i="2"/>
  <c r="F547" i="2"/>
  <c r="A548" i="2"/>
  <c r="D548" i="2"/>
  <c r="E548" i="2"/>
  <c r="F548" i="2"/>
  <c r="A549" i="2"/>
  <c r="D549" i="2"/>
  <c r="E549" i="2"/>
  <c r="F549" i="2"/>
  <c r="A550" i="2"/>
  <c r="D550" i="2"/>
  <c r="E550" i="2"/>
  <c r="F550" i="2"/>
  <c r="A551" i="2"/>
  <c r="D551" i="2"/>
  <c r="E551" i="2"/>
  <c r="F551" i="2"/>
  <c r="A552" i="2"/>
  <c r="D552" i="2"/>
  <c r="E552" i="2"/>
  <c r="F552" i="2"/>
  <c r="A553" i="2"/>
  <c r="C553" i="2" s="1"/>
  <c r="B553" i="2"/>
  <c r="D553" i="2"/>
  <c r="E553" i="2"/>
  <c r="F553" i="2"/>
  <c r="A554" i="2"/>
  <c r="B199" i="2" s="1"/>
  <c r="D554" i="2"/>
  <c r="E554" i="2"/>
  <c r="F554" i="2"/>
  <c r="A555" i="2"/>
  <c r="D555" i="2"/>
  <c r="E555" i="2"/>
  <c r="F555" i="2"/>
  <c r="A556" i="2"/>
  <c r="D556" i="2"/>
  <c r="E556" i="2"/>
  <c r="F556" i="2"/>
  <c r="A557" i="2"/>
  <c r="D557" i="2"/>
  <c r="E557" i="2"/>
  <c r="F557" i="2"/>
  <c r="A558" i="2"/>
  <c r="D558" i="2"/>
  <c r="E558" i="2"/>
  <c r="F558" i="2"/>
  <c r="A559" i="2"/>
  <c r="D559" i="2"/>
  <c r="E559" i="2"/>
  <c r="F559" i="2"/>
  <c r="A560" i="2"/>
  <c r="D560" i="2"/>
  <c r="E560" i="2"/>
  <c r="F560" i="2"/>
  <c r="A561" i="2"/>
  <c r="B561" i="2" s="1"/>
  <c r="D561" i="2"/>
  <c r="E561" i="2"/>
  <c r="F561" i="2"/>
  <c r="A562" i="2"/>
  <c r="B458" i="2" s="1"/>
  <c r="D562" i="2"/>
  <c r="E562" i="2"/>
  <c r="F562" i="2"/>
  <c r="A563" i="2"/>
  <c r="D563" i="2"/>
  <c r="E563" i="2"/>
  <c r="F563" i="2"/>
  <c r="A564" i="2"/>
  <c r="D564" i="2"/>
  <c r="E564" i="2"/>
  <c r="F564" i="2"/>
  <c r="A565" i="2"/>
  <c r="C565" i="2" s="1"/>
  <c r="D565" i="2"/>
  <c r="E565" i="2"/>
  <c r="F565" i="2"/>
  <c r="A566" i="2"/>
  <c r="D566" i="2"/>
  <c r="E566" i="2"/>
  <c r="F566" i="2"/>
  <c r="A567" i="2"/>
  <c r="D567" i="2"/>
  <c r="E567" i="2"/>
  <c r="F567" i="2"/>
  <c r="A568" i="2"/>
  <c r="B568" i="2" s="1"/>
  <c r="D568" i="2"/>
  <c r="E568" i="2"/>
  <c r="F568" i="2"/>
  <c r="A569" i="2"/>
  <c r="D569" i="2"/>
  <c r="E569" i="2"/>
  <c r="F569" i="2"/>
  <c r="A570" i="2"/>
  <c r="D570" i="2"/>
  <c r="E570" i="2"/>
  <c r="F570" i="2"/>
  <c r="A571" i="2"/>
  <c r="C115" i="2" s="1"/>
  <c r="D571" i="2"/>
  <c r="E571" i="2"/>
  <c r="F571" i="2"/>
  <c r="A572" i="2"/>
  <c r="D572" i="2"/>
  <c r="E572" i="2"/>
  <c r="F572" i="2"/>
  <c r="A573" i="2"/>
  <c r="C573" i="2" s="1"/>
  <c r="B573" i="2"/>
  <c r="D573" i="2"/>
  <c r="E573" i="2"/>
  <c r="F573" i="2"/>
  <c r="A574" i="2"/>
  <c r="B201" i="2" s="1"/>
  <c r="D574" i="2"/>
  <c r="E574" i="2"/>
  <c r="F574" i="2"/>
  <c r="A575" i="2"/>
  <c r="D575" i="2"/>
  <c r="E575" i="2"/>
  <c r="F575" i="2"/>
  <c r="A576" i="2"/>
  <c r="D576" i="2"/>
  <c r="E576" i="2"/>
  <c r="F576" i="2"/>
  <c r="A577" i="2"/>
  <c r="C577" i="2" s="1"/>
  <c r="D577" i="2"/>
  <c r="E577" i="2"/>
  <c r="F577" i="2"/>
  <c r="A578" i="2"/>
  <c r="C578" i="2" s="1"/>
  <c r="D578" i="2"/>
  <c r="E578" i="2"/>
  <c r="F578" i="2"/>
  <c r="A579" i="2"/>
  <c r="D579" i="2"/>
  <c r="E579" i="2"/>
  <c r="F579" i="2"/>
  <c r="A580" i="2"/>
  <c r="C580" i="2" s="1"/>
  <c r="D580" i="2"/>
  <c r="E580" i="2"/>
  <c r="F580" i="2"/>
  <c r="A581" i="2"/>
  <c r="D581" i="2"/>
  <c r="E581" i="2"/>
  <c r="F581" i="2"/>
  <c r="A582" i="2"/>
  <c r="B582" i="2" s="1"/>
  <c r="C582" i="2"/>
  <c r="D582" i="2"/>
  <c r="E582" i="2"/>
  <c r="F582" i="2"/>
  <c r="A583" i="2"/>
  <c r="B583" i="2" s="1"/>
  <c r="D583" i="2"/>
  <c r="E583" i="2"/>
  <c r="F583" i="2"/>
  <c r="A584" i="2"/>
  <c r="B259" i="2" s="1"/>
  <c r="D584" i="2"/>
  <c r="E584" i="2"/>
  <c r="F584" i="2"/>
  <c r="A585" i="2"/>
  <c r="B585" i="2" s="1"/>
  <c r="D585" i="2"/>
  <c r="E585" i="2"/>
  <c r="F585" i="2"/>
  <c r="A586" i="2"/>
  <c r="D586" i="2"/>
  <c r="E586" i="2"/>
  <c r="F586" i="2"/>
  <c r="A587" i="2"/>
  <c r="D587" i="2"/>
  <c r="E587" i="2"/>
  <c r="F587" i="2"/>
  <c r="A588" i="2"/>
  <c r="C588" i="2" s="1"/>
  <c r="D588" i="2"/>
  <c r="E588" i="2"/>
  <c r="F588" i="2"/>
  <c r="A589" i="2"/>
  <c r="D589" i="2"/>
  <c r="E589" i="2"/>
  <c r="F589" i="2"/>
  <c r="A590" i="2"/>
  <c r="D590" i="2"/>
  <c r="E590" i="2"/>
  <c r="F590" i="2"/>
  <c r="A591" i="2"/>
  <c r="D591" i="2"/>
  <c r="E591" i="2"/>
  <c r="F591" i="2"/>
  <c r="A592" i="2"/>
  <c r="B592" i="2" s="1"/>
  <c r="D592" i="2"/>
  <c r="E592" i="2"/>
  <c r="F592" i="2"/>
  <c r="A593" i="2"/>
  <c r="B101" i="2" s="1"/>
  <c r="D593" i="2"/>
  <c r="E593" i="2"/>
  <c r="F593" i="2"/>
  <c r="A594" i="2"/>
  <c r="D594" i="2"/>
  <c r="E594" i="2"/>
  <c r="F594" i="2"/>
  <c r="A595" i="2"/>
  <c r="D595" i="2"/>
  <c r="E595" i="2"/>
  <c r="F595" i="2"/>
  <c r="A596" i="2"/>
  <c r="C294" i="2" s="1"/>
  <c r="B596" i="2"/>
  <c r="D596" i="2"/>
  <c r="E596" i="2"/>
  <c r="F596" i="2"/>
  <c r="A597" i="2"/>
  <c r="B181" i="2" s="1"/>
  <c r="D597" i="2"/>
  <c r="E597" i="2"/>
  <c r="F597" i="2"/>
  <c r="A598" i="2"/>
  <c r="C598" i="2" s="1"/>
  <c r="B598" i="2"/>
  <c r="D598" i="2"/>
  <c r="E598" i="2"/>
  <c r="F598" i="2"/>
  <c r="A599" i="2"/>
  <c r="B599" i="2" s="1"/>
  <c r="D599" i="2"/>
  <c r="E599" i="2"/>
  <c r="F599" i="2"/>
  <c r="A600" i="2"/>
  <c r="D600" i="2"/>
  <c r="E600" i="2"/>
  <c r="F600" i="2"/>
  <c r="A601" i="2"/>
  <c r="B601" i="2" s="1"/>
  <c r="D601" i="2"/>
  <c r="E601" i="2"/>
  <c r="F601" i="2"/>
  <c r="A602" i="2"/>
  <c r="C602" i="2" s="1"/>
  <c r="D602" i="2"/>
  <c r="E602" i="2"/>
  <c r="F602" i="2"/>
  <c r="A603" i="2"/>
  <c r="B603" i="2" s="1"/>
  <c r="D603" i="2"/>
  <c r="E603" i="2"/>
  <c r="F603" i="2"/>
  <c r="A604" i="2"/>
  <c r="D604" i="2"/>
  <c r="E604" i="2"/>
  <c r="F604" i="2"/>
  <c r="A605" i="2"/>
  <c r="D605" i="2"/>
  <c r="E605" i="2"/>
  <c r="F605" i="2"/>
  <c r="A606" i="2"/>
  <c r="B261" i="2" s="1"/>
  <c r="D606" i="2"/>
  <c r="E606" i="2"/>
  <c r="F606" i="2"/>
  <c r="A607" i="2"/>
  <c r="C607" i="2" s="1"/>
  <c r="D607" i="2"/>
  <c r="E607" i="2"/>
  <c r="F607" i="2"/>
  <c r="A608" i="2"/>
  <c r="C608" i="2" s="1"/>
  <c r="D608" i="2"/>
  <c r="E608" i="2"/>
  <c r="F608" i="2"/>
  <c r="A609" i="2"/>
  <c r="C609" i="2" s="1"/>
  <c r="D609" i="2"/>
  <c r="E609" i="2"/>
  <c r="F609" i="2"/>
  <c r="A610" i="2"/>
  <c r="C610" i="2" s="1"/>
  <c r="D610" i="2"/>
  <c r="E610" i="2"/>
  <c r="F610" i="2"/>
  <c r="A611" i="2"/>
  <c r="D611" i="2"/>
  <c r="E611" i="2"/>
  <c r="F611" i="2"/>
  <c r="A612" i="2"/>
  <c r="D612" i="2"/>
  <c r="E612" i="2"/>
  <c r="F612" i="2"/>
  <c r="A613" i="2"/>
  <c r="B613" i="2" s="1"/>
  <c r="D613" i="2"/>
  <c r="E613" i="2"/>
  <c r="F613" i="2"/>
  <c r="A614" i="2"/>
  <c r="B418" i="2" s="1"/>
  <c r="D614" i="2"/>
  <c r="E614" i="2"/>
  <c r="F614" i="2"/>
  <c r="A615" i="2"/>
  <c r="B615" i="2" s="1"/>
  <c r="D615" i="2"/>
  <c r="E615" i="2"/>
  <c r="F615" i="2"/>
  <c r="A616" i="2"/>
  <c r="D616" i="2"/>
  <c r="E616" i="2"/>
  <c r="F616" i="2"/>
  <c r="A617" i="2"/>
  <c r="B617" i="2" s="1"/>
  <c r="D617" i="2"/>
  <c r="E617" i="2"/>
  <c r="F617" i="2"/>
  <c r="A618" i="2"/>
  <c r="B618" i="2" s="1"/>
  <c r="D618" i="2"/>
  <c r="E618" i="2"/>
  <c r="F618" i="2"/>
  <c r="A619" i="2"/>
  <c r="B41" i="2" s="1"/>
  <c r="D619" i="2"/>
  <c r="E619" i="2"/>
  <c r="F619" i="2"/>
  <c r="A620" i="2"/>
  <c r="C334" i="2" s="1"/>
  <c r="D620" i="2"/>
  <c r="E620" i="2"/>
  <c r="F620" i="2"/>
  <c r="A621" i="2"/>
  <c r="C621" i="2" s="1"/>
  <c r="D621" i="2"/>
  <c r="E621" i="2"/>
  <c r="F621" i="2"/>
  <c r="A622" i="2"/>
  <c r="C622" i="2" s="1"/>
  <c r="D622" i="2"/>
  <c r="E622" i="2"/>
  <c r="F622" i="2"/>
  <c r="A623" i="2"/>
  <c r="B29" i="2" s="1"/>
  <c r="D623" i="2"/>
  <c r="E623" i="2"/>
  <c r="F623" i="2"/>
  <c r="A624" i="2"/>
  <c r="D624" i="2"/>
  <c r="E624" i="2"/>
  <c r="F624" i="2"/>
  <c r="A625" i="2"/>
  <c r="C625" i="2" s="1"/>
  <c r="D625" i="2"/>
  <c r="E625" i="2"/>
  <c r="F625" i="2"/>
  <c r="A626" i="2"/>
  <c r="D626" i="2"/>
  <c r="E626" i="2"/>
  <c r="F626" i="2"/>
  <c r="A627" i="2"/>
  <c r="B627" i="2" s="1"/>
  <c r="D627" i="2"/>
  <c r="E627" i="2"/>
  <c r="F627" i="2"/>
  <c r="A628" i="2"/>
  <c r="D628" i="2"/>
  <c r="E628" i="2"/>
  <c r="F628" i="2"/>
  <c r="A629" i="2"/>
  <c r="C248" i="2" s="1"/>
  <c r="D629" i="2"/>
  <c r="E629" i="2"/>
  <c r="F629" i="2"/>
  <c r="A630" i="2"/>
  <c r="C630" i="2" s="1"/>
  <c r="D630" i="2"/>
  <c r="E630" i="2"/>
  <c r="F630" i="2"/>
  <c r="A631" i="2"/>
  <c r="B631" i="2" s="1"/>
  <c r="D631" i="2"/>
  <c r="E631" i="2"/>
  <c r="F631" i="2"/>
  <c r="A632" i="2"/>
  <c r="D632" i="2"/>
  <c r="E632" i="2"/>
  <c r="F632" i="2"/>
  <c r="A633" i="2"/>
  <c r="D633" i="2"/>
  <c r="E633" i="2"/>
  <c r="F633" i="2"/>
  <c r="A634" i="2"/>
  <c r="D634" i="2"/>
  <c r="E634" i="2"/>
  <c r="F634" i="2"/>
  <c r="A635" i="2"/>
  <c r="B635" i="2" s="1"/>
  <c r="D635" i="2"/>
  <c r="E635" i="2"/>
  <c r="F635" i="2"/>
  <c r="A636" i="2"/>
  <c r="D636" i="2"/>
  <c r="E636" i="2"/>
  <c r="F636" i="2"/>
  <c r="A637" i="2"/>
  <c r="C637" i="2" s="1"/>
  <c r="D637" i="2"/>
  <c r="E637" i="2"/>
  <c r="F637" i="2"/>
  <c r="A638" i="2"/>
  <c r="D638" i="2"/>
  <c r="E638" i="2"/>
  <c r="F638" i="2"/>
  <c r="A639" i="2"/>
  <c r="D639" i="2"/>
  <c r="E639" i="2"/>
  <c r="F639" i="2"/>
  <c r="A640" i="2"/>
  <c r="B640" i="2" s="1"/>
  <c r="D640" i="2"/>
  <c r="E640" i="2"/>
  <c r="F640" i="2"/>
  <c r="A641" i="2"/>
  <c r="C641" i="2" s="1"/>
  <c r="B641" i="2"/>
  <c r="D641" i="2"/>
  <c r="E641" i="2"/>
  <c r="F641" i="2"/>
  <c r="A642" i="2"/>
  <c r="D642" i="2"/>
  <c r="E642" i="2"/>
  <c r="F642" i="2"/>
  <c r="A643" i="2"/>
  <c r="B506" i="2" s="1"/>
  <c r="D643" i="2"/>
  <c r="E643" i="2"/>
  <c r="F643" i="2"/>
  <c r="A644" i="2"/>
  <c r="C644" i="2" s="1"/>
  <c r="B644" i="2"/>
  <c r="D644" i="2"/>
  <c r="E644" i="2"/>
  <c r="F644" i="2"/>
  <c r="A645" i="2"/>
  <c r="D645" i="2"/>
  <c r="E645" i="2"/>
  <c r="F645" i="2"/>
  <c r="A646" i="2"/>
  <c r="D646" i="2"/>
  <c r="E646" i="2"/>
  <c r="F646" i="2"/>
  <c r="A647" i="2"/>
  <c r="D647" i="2"/>
  <c r="E647" i="2"/>
  <c r="F647" i="2"/>
  <c r="A648" i="2"/>
  <c r="D648" i="2"/>
  <c r="E648" i="2"/>
  <c r="F648" i="2"/>
  <c r="A649" i="2"/>
  <c r="C287" i="2" s="1"/>
  <c r="D649" i="2"/>
  <c r="E649" i="2"/>
  <c r="F649" i="2"/>
  <c r="A650" i="2"/>
  <c r="B291" i="2" s="1"/>
  <c r="D650" i="2"/>
  <c r="E650" i="2"/>
  <c r="F650" i="2"/>
  <c r="A651" i="2"/>
  <c r="C467" i="2" s="1"/>
  <c r="D651" i="2"/>
  <c r="E651" i="2"/>
  <c r="F651" i="2"/>
  <c r="A652" i="2"/>
  <c r="B652" i="2" s="1"/>
  <c r="D652" i="2"/>
  <c r="E652" i="2"/>
  <c r="F652" i="2"/>
  <c r="A653" i="2"/>
  <c r="C653" i="2" s="1"/>
  <c r="D653" i="2"/>
  <c r="E653" i="2"/>
  <c r="F653" i="2"/>
  <c r="A654" i="2"/>
  <c r="D654" i="2"/>
  <c r="E654" i="2"/>
  <c r="F654" i="2"/>
  <c r="A655" i="2"/>
  <c r="D655" i="2"/>
  <c r="E655" i="2"/>
  <c r="F655" i="2"/>
  <c r="A656" i="2"/>
  <c r="D656" i="2"/>
  <c r="E656" i="2"/>
  <c r="F656" i="2"/>
  <c r="A657" i="2"/>
  <c r="B657" i="2" s="1"/>
  <c r="D657" i="2"/>
  <c r="E657" i="2"/>
  <c r="F657" i="2"/>
  <c r="A658" i="2"/>
  <c r="D658" i="2"/>
  <c r="E658" i="2"/>
  <c r="F658" i="2"/>
  <c r="A659" i="2"/>
  <c r="D659" i="2"/>
  <c r="E659" i="2"/>
  <c r="F659" i="2"/>
  <c r="A660" i="2"/>
  <c r="D660" i="2"/>
  <c r="E660" i="2"/>
  <c r="F660" i="2"/>
  <c r="A661" i="2"/>
  <c r="D661" i="2"/>
  <c r="E661" i="2"/>
  <c r="F661" i="2"/>
  <c r="A662" i="2"/>
  <c r="C406" i="2" s="1"/>
  <c r="D662" i="2"/>
  <c r="E662" i="2"/>
  <c r="F662" i="2"/>
  <c r="A663" i="2"/>
  <c r="D663" i="2"/>
  <c r="E663" i="2"/>
  <c r="F663" i="2"/>
  <c r="A664" i="2"/>
  <c r="B245" i="2" s="1"/>
  <c r="D664" i="2"/>
  <c r="E664" i="2"/>
  <c r="F664" i="2"/>
  <c r="A665" i="2"/>
  <c r="D665" i="2"/>
  <c r="E665" i="2"/>
  <c r="F665" i="2"/>
  <c r="A666" i="2"/>
  <c r="D666" i="2"/>
  <c r="E666" i="2"/>
  <c r="F666" i="2"/>
  <c r="A667" i="2"/>
  <c r="D667" i="2"/>
  <c r="E667" i="2"/>
  <c r="F667" i="2"/>
  <c r="A668" i="2"/>
  <c r="C668" i="2" s="1"/>
  <c r="D668" i="2"/>
  <c r="E668" i="2"/>
  <c r="F668" i="2"/>
  <c r="A669" i="2"/>
  <c r="D669" i="2"/>
  <c r="E669" i="2"/>
  <c r="F669" i="2"/>
  <c r="A670" i="2"/>
  <c r="D670" i="2"/>
  <c r="E670" i="2"/>
  <c r="F670" i="2"/>
  <c r="A671" i="2"/>
  <c r="D671" i="2"/>
  <c r="E671" i="2"/>
  <c r="F671" i="2"/>
  <c r="A672" i="2"/>
  <c r="B672" i="2" s="1"/>
  <c r="D672" i="2"/>
  <c r="E672" i="2"/>
  <c r="F672" i="2"/>
  <c r="A673" i="2"/>
  <c r="B673" i="2" s="1"/>
  <c r="D673" i="2"/>
  <c r="E673" i="2"/>
  <c r="F673" i="2"/>
  <c r="A674" i="2"/>
  <c r="D674" i="2"/>
  <c r="E674" i="2"/>
  <c r="F674" i="2"/>
  <c r="A675" i="2"/>
  <c r="D675" i="2"/>
  <c r="E675" i="2"/>
  <c r="F675" i="2"/>
  <c r="A676" i="2"/>
  <c r="D676" i="2"/>
  <c r="E676" i="2"/>
  <c r="F676" i="2"/>
  <c r="A677" i="2"/>
  <c r="C677" i="2" s="1"/>
  <c r="D677" i="2"/>
  <c r="E677" i="2"/>
  <c r="F677" i="2"/>
  <c r="A678" i="2"/>
  <c r="B678" i="2" s="1"/>
  <c r="D678" i="2"/>
  <c r="E678" i="2"/>
  <c r="F678" i="2"/>
  <c r="A679" i="2"/>
  <c r="B679" i="2" s="1"/>
  <c r="C679" i="2"/>
  <c r="D679" i="2"/>
  <c r="E679" i="2"/>
  <c r="F679" i="2"/>
  <c r="A680" i="2"/>
  <c r="B680" i="2" s="1"/>
  <c r="D680" i="2"/>
  <c r="E680" i="2"/>
  <c r="F680" i="2"/>
  <c r="A681" i="2"/>
  <c r="D681" i="2"/>
  <c r="E681" i="2"/>
  <c r="F681" i="2"/>
  <c r="A682" i="2"/>
  <c r="B682" i="2" s="1"/>
  <c r="D682" i="2"/>
  <c r="E682" i="2"/>
  <c r="F682" i="2"/>
  <c r="A683" i="2"/>
  <c r="D683" i="2"/>
  <c r="E683" i="2"/>
  <c r="F683" i="2"/>
  <c r="A684" i="2"/>
  <c r="D684" i="2"/>
  <c r="E684" i="2"/>
  <c r="F684" i="2"/>
  <c r="A685" i="2"/>
  <c r="D685" i="2"/>
  <c r="E685" i="2"/>
  <c r="F685" i="2"/>
  <c r="A686" i="2"/>
  <c r="D686" i="2"/>
  <c r="E686" i="2"/>
  <c r="F686" i="2"/>
  <c r="A687" i="2"/>
  <c r="D687" i="2"/>
  <c r="E687" i="2"/>
  <c r="F687" i="2"/>
  <c r="A688" i="2"/>
  <c r="C688" i="2" s="1"/>
  <c r="B688" i="2"/>
  <c r="D688" i="2"/>
  <c r="E688" i="2"/>
  <c r="F688" i="2"/>
  <c r="A689" i="2"/>
  <c r="C398" i="2" s="1"/>
  <c r="B689" i="2"/>
  <c r="D689" i="2"/>
  <c r="E689" i="2"/>
  <c r="F689" i="2"/>
  <c r="A690" i="2"/>
  <c r="C690" i="2" s="1"/>
  <c r="D690" i="2"/>
  <c r="E690" i="2"/>
  <c r="F690" i="2"/>
  <c r="A691" i="2"/>
  <c r="D691" i="2"/>
  <c r="E691" i="2"/>
  <c r="F691" i="2"/>
  <c r="A692" i="2"/>
  <c r="D692" i="2"/>
  <c r="E692" i="2"/>
  <c r="F692" i="2"/>
  <c r="A693" i="2"/>
  <c r="C693" i="2" s="1"/>
  <c r="D693" i="2"/>
  <c r="E693" i="2"/>
  <c r="F693" i="2"/>
  <c r="A694" i="2"/>
  <c r="D694" i="2"/>
  <c r="E694" i="2"/>
  <c r="F694" i="2"/>
  <c r="A695" i="2"/>
  <c r="B695" i="2" s="1"/>
  <c r="C695" i="2"/>
  <c r="D695" i="2"/>
  <c r="E695" i="2"/>
  <c r="F695" i="2"/>
  <c r="A696" i="2"/>
  <c r="D696" i="2"/>
  <c r="E696" i="2"/>
  <c r="F696" i="2"/>
  <c r="A697" i="2"/>
  <c r="D697" i="2"/>
  <c r="E697" i="2"/>
  <c r="F697" i="2"/>
  <c r="A698" i="2"/>
  <c r="B698" i="2" s="1"/>
  <c r="D698" i="2"/>
  <c r="E698" i="2"/>
  <c r="F698" i="2"/>
  <c r="A699" i="2"/>
  <c r="D699" i="2"/>
  <c r="E699" i="2"/>
  <c r="F699" i="2"/>
  <c r="A700" i="2"/>
  <c r="B700" i="2"/>
  <c r="D700" i="2"/>
  <c r="E700" i="2"/>
  <c r="F700" i="2"/>
  <c r="A701" i="2"/>
  <c r="B701" i="2" s="1"/>
  <c r="D701" i="2"/>
  <c r="E701" i="2"/>
  <c r="F701" i="2"/>
  <c r="A702" i="2"/>
  <c r="D702" i="2"/>
  <c r="E702" i="2"/>
  <c r="F702" i="2"/>
  <c r="A703" i="2"/>
  <c r="D703" i="2"/>
  <c r="E703" i="2"/>
  <c r="F703" i="2"/>
  <c r="A704" i="2"/>
  <c r="B704" i="2" s="1"/>
  <c r="D704" i="2"/>
  <c r="E704" i="2"/>
  <c r="F704" i="2"/>
  <c r="A705" i="2"/>
  <c r="B125" i="2" s="1"/>
  <c r="B705" i="2"/>
  <c r="D705" i="2"/>
  <c r="E705" i="2"/>
  <c r="F705" i="2"/>
  <c r="A706" i="2"/>
  <c r="C706" i="2" s="1"/>
  <c r="D706" i="2"/>
  <c r="E706" i="2"/>
  <c r="F706" i="2"/>
  <c r="A707" i="2"/>
  <c r="C407" i="2" s="1"/>
  <c r="D707" i="2"/>
  <c r="E707" i="2"/>
  <c r="F707" i="2"/>
  <c r="A708" i="2"/>
  <c r="C708" i="2" s="1"/>
  <c r="B708" i="2"/>
  <c r="D708" i="2"/>
  <c r="E708" i="2"/>
  <c r="F708" i="2"/>
  <c r="A709" i="2"/>
  <c r="C709" i="2" s="1"/>
  <c r="D709" i="2"/>
  <c r="E709" i="2"/>
  <c r="F709" i="2"/>
  <c r="A710" i="2"/>
  <c r="B220" i="2" s="1"/>
  <c r="D710" i="2"/>
  <c r="E710" i="2"/>
  <c r="F710" i="2"/>
  <c r="A711" i="2"/>
  <c r="D711" i="2"/>
  <c r="E711" i="2"/>
  <c r="F711" i="2"/>
  <c r="A712" i="2"/>
  <c r="C712" i="2" s="1"/>
  <c r="D712" i="2"/>
  <c r="E712" i="2"/>
  <c r="F712" i="2"/>
  <c r="A713" i="2"/>
  <c r="B605" i="2" s="1"/>
  <c r="D713" i="2"/>
  <c r="E713" i="2"/>
  <c r="F713" i="2"/>
  <c r="A714" i="2"/>
  <c r="C714" i="2" s="1"/>
  <c r="D714" i="2"/>
  <c r="E714" i="2"/>
  <c r="F714" i="2"/>
  <c r="A715" i="2"/>
  <c r="B715" i="2" s="1"/>
  <c r="D715" i="2"/>
  <c r="E715" i="2"/>
  <c r="F715" i="2"/>
  <c r="A716" i="2"/>
  <c r="C716" i="2" s="1"/>
  <c r="D716" i="2"/>
  <c r="E716" i="2"/>
  <c r="F716" i="2"/>
  <c r="A717" i="2"/>
  <c r="D717" i="2"/>
  <c r="E717" i="2"/>
  <c r="F717" i="2"/>
  <c r="A718" i="2"/>
  <c r="D718" i="2"/>
  <c r="E718" i="2"/>
  <c r="F718" i="2"/>
  <c r="A719" i="2"/>
  <c r="D719" i="2"/>
  <c r="E719" i="2"/>
  <c r="F719" i="2"/>
  <c r="A720" i="2"/>
  <c r="D720" i="2"/>
  <c r="E720" i="2"/>
  <c r="F720" i="2"/>
  <c r="A721" i="2"/>
  <c r="D721" i="2"/>
  <c r="E721" i="2"/>
  <c r="F721" i="2"/>
  <c r="A722" i="2"/>
  <c r="B722" i="2" s="1"/>
  <c r="D722" i="2"/>
  <c r="E722" i="2"/>
  <c r="F722" i="2"/>
  <c r="A723" i="2"/>
  <c r="D723" i="2"/>
  <c r="E723" i="2"/>
  <c r="F723" i="2"/>
  <c r="A724" i="2"/>
  <c r="D724" i="2"/>
  <c r="E724" i="2"/>
  <c r="F724" i="2"/>
  <c r="A725" i="2"/>
  <c r="B638" i="2" s="1"/>
  <c r="D725" i="2"/>
  <c r="E725" i="2"/>
  <c r="F725" i="2"/>
  <c r="A726" i="2"/>
  <c r="C310" i="2" s="1"/>
  <c r="D726" i="2"/>
  <c r="E726" i="2"/>
  <c r="F726" i="2"/>
  <c r="A727" i="2"/>
  <c r="B727" i="2" s="1"/>
  <c r="D727" i="2"/>
  <c r="E727" i="2"/>
  <c r="F727" i="2"/>
  <c r="A728" i="2"/>
  <c r="C382" i="2" s="1"/>
  <c r="D728" i="2"/>
  <c r="E728" i="2"/>
  <c r="F728" i="2"/>
  <c r="A729" i="2"/>
  <c r="B729" i="2" s="1"/>
  <c r="C729" i="2"/>
  <c r="D729" i="2"/>
  <c r="E729" i="2"/>
  <c r="F729" i="2"/>
  <c r="A730" i="2"/>
  <c r="C730" i="2" s="1"/>
  <c r="D730" i="2"/>
  <c r="E730" i="2"/>
  <c r="F730" i="2"/>
  <c r="A731" i="2"/>
  <c r="C731" i="2" s="1"/>
  <c r="D731" i="2"/>
  <c r="E731" i="2"/>
  <c r="F731" i="2"/>
  <c r="A732" i="2"/>
  <c r="D732" i="2"/>
  <c r="E732" i="2"/>
  <c r="F732" i="2"/>
  <c r="A733" i="2"/>
  <c r="B733" i="2" s="1"/>
  <c r="D733" i="2"/>
  <c r="E733" i="2"/>
  <c r="F733" i="2"/>
  <c r="A734" i="2"/>
  <c r="C734" i="2" s="1"/>
  <c r="D734" i="2"/>
  <c r="E734" i="2"/>
  <c r="F734" i="2"/>
  <c r="A735" i="2"/>
  <c r="D735" i="2"/>
  <c r="E735" i="2"/>
  <c r="F735" i="2"/>
  <c r="A736" i="2"/>
  <c r="D736" i="2"/>
  <c r="E736" i="2"/>
  <c r="F736" i="2"/>
  <c r="A737" i="2"/>
  <c r="C14" i="2" s="1"/>
  <c r="D737" i="2"/>
  <c r="E737" i="2"/>
  <c r="F737" i="2"/>
  <c r="A738" i="2"/>
  <c r="D738" i="2"/>
  <c r="E738" i="2"/>
  <c r="F738" i="2"/>
  <c r="A739" i="2"/>
  <c r="B739" i="2" s="1"/>
  <c r="D739" i="2"/>
  <c r="E739" i="2"/>
  <c r="F739" i="2"/>
  <c r="A740" i="2"/>
  <c r="C740" i="2" s="1"/>
  <c r="D740" i="2"/>
  <c r="E740" i="2"/>
  <c r="F740" i="2"/>
  <c r="A741" i="2"/>
  <c r="C741" i="2" s="1"/>
  <c r="B741" i="2"/>
  <c r="D741" i="2"/>
  <c r="E741" i="2"/>
  <c r="F741" i="2"/>
  <c r="A742" i="2"/>
  <c r="D742" i="2"/>
  <c r="E742" i="2"/>
  <c r="F742" i="2"/>
  <c r="A743" i="2"/>
  <c r="D743" i="2"/>
  <c r="E743" i="2"/>
  <c r="F743" i="2"/>
  <c r="A744" i="2"/>
  <c r="D744" i="2"/>
  <c r="E744" i="2"/>
  <c r="F744" i="2"/>
  <c r="A745" i="2"/>
  <c r="B745" i="2" s="1"/>
  <c r="D745" i="2"/>
  <c r="E745" i="2"/>
  <c r="F745" i="2"/>
  <c r="A746" i="2"/>
  <c r="C746" i="2" s="1"/>
  <c r="D746" i="2"/>
  <c r="E746" i="2"/>
  <c r="F746" i="2"/>
  <c r="A747" i="2"/>
  <c r="D747" i="2"/>
  <c r="E747" i="2"/>
  <c r="F747" i="2"/>
  <c r="A748" i="2"/>
  <c r="B748" i="2" s="1"/>
  <c r="D748" i="2"/>
  <c r="E748" i="2"/>
  <c r="F748" i="2"/>
  <c r="A749" i="2"/>
  <c r="D749" i="2"/>
  <c r="E749" i="2"/>
  <c r="F749" i="2"/>
  <c r="A750" i="2"/>
  <c r="B289" i="2" s="1"/>
  <c r="B750" i="2"/>
  <c r="D750" i="2"/>
  <c r="E750" i="2"/>
  <c r="F750" i="2"/>
  <c r="A751" i="2"/>
  <c r="D751" i="2"/>
  <c r="E751" i="2"/>
  <c r="F751" i="2"/>
  <c r="A752" i="2"/>
  <c r="B752" i="2" s="1"/>
  <c r="D752" i="2"/>
  <c r="E752" i="2"/>
  <c r="F752" i="2"/>
  <c r="A753" i="2"/>
  <c r="B753" i="2" s="1"/>
  <c r="D753" i="2"/>
  <c r="E753" i="2"/>
  <c r="F753" i="2"/>
  <c r="A754" i="2"/>
  <c r="B754" i="2" s="1"/>
  <c r="C754" i="2"/>
  <c r="D754" i="2"/>
  <c r="E754" i="2"/>
  <c r="F754" i="2"/>
  <c r="A755" i="2"/>
  <c r="B755" i="2" s="1"/>
  <c r="D755" i="2"/>
  <c r="E755" i="2"/>
  <c r="F755" i="2"/>
  <c r="A756" i="2"/>
  <c r="C391" i="2" s="1"/>
  <c r="D756" i="2"/>
  <c r="E756" i="2"/>
  <c r="F756" i="2"/>
  <c r="A757" i="2"/>
  <c r="B757" i="2"/>
  <c r="D757" i="2"/>
  <c r="E757" i="2"/>
  <c r="F757" i="2"/>
  <c r="A758" i="2"/>
  <c r="D758" i="2"/>
  <c r="E758" i="2"/>
  <c r="F758" i="2"/>
  <c r="A759" i="2"/>
  <c r="B759" i="2" s="1"/>
  <c r="D759" i="2"/>
  <c r="E759" i="2"/>
  <c r="F759" i="2"/>
  <c r="A760" i="2"/>
  <c r="C760" i="2" s="1"/>
  <c r="D760" i="2"/>
  <c r="E760" i="2"/>
  <c r="F760" i="2"/>
  <c r="A761" i="2"/>
  <c r="B761" i="2"/>
  <c r="D761" i="2"/>
  <c r="E761" i="2"/>
  <c r="F761" i="2"/>
  <c r="A762" i="2"/>
  <c r="B762" i="2" s="1"/>
  <c r="D762" i="2"/>
  <c r="E762" i="2"/>
  <c r="F762" i="2"/>
  <c r="A763" i="2"/>
  <c r="D763" i="2"/>
  <c r="E763" i="2"/>
  <c r="F763" i="2"/>
  <c r="A764" i="2"/>
  <c r="B764" i="2" s="1"/>
  <c r="D764" i="2"/>
  <c r="E764" i="2"/>
  <c r="F764" i="2"/>
  <c r="A765" i="2"/>
  <c r="C246" i="2" s="1"/>
  <c r="D765" i="2"/>
  <c r="E765" i="2"/>
  <c r="F765" i="2"/>
  <c r="A766" i="2"/>
  <c r="D766" i="2"/>
  <c r="E766" i="2"/>
  <c r="F766" i="2"/>
  <c r="A767" i="2"/>
  <c r="B135" i="2" s="1"/>
  <c r="D767" i="2"/>
  <c r="E767" i="2"/>
  <c r="F767" i="2"/>
  <c r="A768" i="2"/>
  <c r="C768" i="2" s="1"/>
  <c r="D768" i="2"/>
  <c r="E768" i="2"/>
  <c r="F768" i="2"/>
  <c r="A769" i="2"/>
  <c r="B769" i="2" s="1"/>
  <c r="D769" i="2"/>
  <c r="E769" i="2"/>
  <c r="F769" i="2"/>
  <c r="A770" i="2"/>
  <c r="C384" i="2" s="1"/>
  <c r="D770" i="2"/>
  <c r="E770" i="2"/>
  <c r="F770" i="2"/>
  <c r="A771" i="2"/>
  <c r="B771" i="2" s="1"/>
  <c r="D771" i="2"/>
  <c r="E771" i="2"/>
  <c r="F771" i="2"/>
  <c r="A772" i="2"/>
  <c r="C401" i="2" s="1"/>
  <c r="D772" i="2"/>
  <c r="E772" i="2"/>
  <c r="F772" i="2"/>
  <c r="A773" i="2"/>
  <c r="D773" i="2"/>
  <c r="E773" i="2"/>
  <c r="F773" i="2"/>
  <c r="A774" i="2"/>
  <c r="D774" i="2"/>
  <c r="E774" i="2"/>
  <c r="F774" i="2"/>
  <c r="A775" i="2"/>
  <c r="B43" i="2" s="1"/>
  <c r="D775" i="2"/>
  <c r="E775" i="2"/>
  <c r="F775" i="2"/>
  <c r="A776" i="2"/>
  <c r="C776" i="2" s="1"/>
  <c r="D776" i="2"/>
  <c r="E776" i="2"/>
  <c r="F776" i="2"/>
  <c r="A777" i="2"/>
  <c r="B777" i="2" s="1"/>
  <c r="D777" i="2"/>
  <c r="E777" i="2"/>
  <c r="F777" i="2"/>
  <c r="A778" i="2"/>
  <c r="C778" i="2" s="1"/>
  <c r="D778" i="2"/>
  <c r="E778" i="2"/>
  <c r="F778" i="2"/>
  <c r="A779" i="2"/>
  <c r="C779" i="2" s="1"/>
  <c r="D779" i="2"/>
  <c r="E779" i="2"/>
  <c r="F779" i="2"/>
  <c r="A780" i="2"/>
  <c r="C513" i="2" s="1"/>
  <c r="D780" i="2"/>
  <c r="E780" i="2"/>
  <c r="F780" i="2"/>
  <c r="A781" i="2"/>
  <c r="D781" i="2"/>
  <c r="E781" i="2"/>
  <c r="F781" i="2"/>
  <c r="A782" i="2"/>
  <c r="B782" i="2" s="1"/>
  <c r="C782" i="2"/>
  <c r="D782" i="2"/>
  <c r="E782" i="2"/>
  <c r="F782" i="2"/>
  <c r="A783" i="2"/>
  <c r="B783" i="2" s="1"/>
  <c r="D783" i="2"/>
  <c r="E783" i="2"/>
  <c r="F783" i="2"/>
  <c r="A784" i="2"/>
  <c r="D784" i="2"/>
  <c r="E784" i="2"/>
  <c r="F784" i="2"/>
  <c r="A785" i="2"/>
  <c r="B145" i="2" s="1"/>
  <c r="D785" i="2"/>
  <c r="E785" i="2"/>
  <c r="F785" i="2"/>
  <c r="A786" i="2"/>
  <c r="B786" i="2" s="1"/>
  <c r="D786" i="2"/>
  <c r="E786" i="2"/>
  <c r="F786" i="2"/>
  <c r="A787" i="2"/>
  <c r="B787" i="2" s="1"/>
  <c r="D787" i="2"/>
  <c r="E787" i="2"/>
  <c r="F787" i="2"/>
  <c r="A788" i="2"/>
  <c r="B788" i="2" s="1"/>
  <c r="D788" i="2"/>
  <c r="E788" i="2"/>
  <c r="F788" i="2"/>
  <c r="A789" i="2"/>
  <c r="D789" i="2"/>
  <c r="E789" i="2"/>
  <c r="F789" i="2"/>
  <c r="A790" i="2"/>
  <c r="B790" i="2" s="1"/>
  <c r="D790" i="2"/>
  <c r="E790" i="2"/>
  <c r="F790" i="2"/>
  <c r="A791" i="2"/>
  <c r="B454" i="2" s="1"/>
  <c r="B791" i="2"/>
  <c r="C791" i="2"/>
  <c r="D791" i="2"/>
  <c r="E791" i="2"/>
  <c r="F791" i="2"/>
  <c r="A792" i="2"/>
  <c r="C792" i="2" s="1"/>
  <c r="D792" i="2"/>
  <c r="E792" i="2"/>
  <c r="F792" i="2"/>
  <c r="A793" i="2"/>
  <c r="D793" i="2"/>
  <c r="E793" i="2"/>
  <c r="F793" i="2"/>
  <c r="A794" i="2"/>
  <c r="B794" i="2" s="1"/>
  <c r="D794" i="2"/>
  <c r="E794" i="2"/>
  <c r="F794" i="2"/>
  <c r="A795" i="2"/>
  <c r="C795" i="2" s="1"/>
  <c r="D795" i="2"/>
  <c r="E795" i="2"/>
  <c r="F795" i="2"/>
  <c r="A796" i="2"/>
  <c r="C796" i="2" s="1"/>
  <c r="D796" i="2"/>
  <c r="E796" i="2"/>
  <c r="F796" i="2"/>
  <c r="A797" i="2"/>
  <c r="D797" i="2"/>
  <c r="E797" i="2"/>
  <c r="F797" i="2"/>
  <c r="A798" i="2"/>
  <c r="B798" i="2" s="1"/>
  <c r="D798" i="2"/>
  <c r="E798" i="2"/>
  <c r="F798" i="2"/>
  <c r="A799" i="2"/>
  <c r="D799" i="2"/>
  <c r="E799" i="2"/>
  <c r="F799" i="2"/>
  <c r="A800" i="2"/>
  <c r="D800" i="2"/>
  <c r="E800" i="2"/>
  <c r="F800" i="2"/>
  <c r="A801" i="2"/>
  <c r="C526" i="2" s="1"/>
  <c r="D801" i="2"/>
  <c r="E801" i="2"/>
  <c r="F801" i="2"/>
  <c r="A802" i="2"/>
  <c r="D802" i="2"/>
  <c r="E802" i="2"/>
  <c r="F802" i="2"/>
  <c r="A803" i="2"/>
  <c r="B482" i="2" s="1"/>
  <c r="D803" i="2"/>
  <c r="E803" i="2"/>
  <c r="F803" i="2"/>
  <c r="A804" i="2"/>
  <c r="C804" i="2" s="1"/>
  <c r="D804" i="2"/>
  <c r="E804" i="2"/>
  <c r="F804" i="2"/>
  <c r="A805" i="2"/>
  <c r="D805" i="2"/>
  <c r="E805" i="2"/>
  <c r="F805" i="2"/>
  <c r="A806" i="2"/>
  <c r="B328" i="2" s="1"/>
  <c r="D806" i="2"/>
  <c r="E806" i="2"/>
  <c r="F806" i="2"/>
  <c r="A807" i="2"/>
  <c r="B807" i="2" s="1"/>
  <c r="D807" i="2"/>
  <c r="E807" i="2"/>
  <c r="F807" i="2"/>
  <c r="A808" i="2"/>
  <c r="D808" i="2"/>
  <c r="E808" i="2"/>
  <c r="F808" i="2"/>
  <c r="A809" i="2"/>
  <c r="D809" i="2"/>
  <c r="E809" i="2"/>
  <c r="F809" i="2"/>
  <c r="A810" i="2"/>
  <c r="C810" i="2" s="1"/>
  <c r="D810" i="2"/>
  <c r="E810" i="2"/>
  <c r="F810" i="2"/>
  <c r="A811" i="2"/>
  <c r="D811" i="2"/>
  <c r="E811" i="2"/>
  <c r="F811" i="2"/>
  <c r="A812" i="2"/>
  <c r="C812" i="2" s="1"/>
  <c r="D812" i="2"/>
  <c r="E812" i="2"/>
  <c r="F812" i="2"/>
  <c r="A813" i="2"/>
  <c r="B167" i="2" s="1"/>
  <c r="D813" i="2"/>
  <c r="E813" i="2"/>
  <c r="F813" i="2"/>
  <c r="A814" i="2"/>
  <c r="D814" i="2"/>
  <c r="E814" i="2"/>
  <c r="F814" i="2"/>
  <c r="A815" i="2"/>
  <c r="B815" i="2" s="1"/>
  <c r="D815" i="2"/>
  <c r="E815" i="2"/>
  <c r="F815" i="2"/>
  <c r="A816" i="2"/>
  <c r="D816" i="2"/>
  <c r="E816" i="2"/>
  <c r="F816" i="2"/>
  <c r="A817" i="2"/>
  <c r="B191" i="2" s="1"/>
  <c r="D817" i="2"/>
  <c r="E817" i="2"/>
  <c r="F817" i="2"/>
  <c r="A818" i="2"/>
  <c r="B818" i="2" s="1"/>
  <c r="D818" i="2"/>
  <c r="E818" i="2"/>
  <c r="F818" i="2"/>
  <c r="A819" i="2"/>
  <c r="B819" i="2" s="1"/>
  <c r="D819" i="2"/>
  <c r="E819" i="2"/>
  <c r="F819" i="2"/>
  <c r="A820" i="2"/>
  <c r="C820" i="2" s="1"/>
  <c r="B820" i="2"/>
  <c r="D820" i="2"/>
  <c r="E820" i="2"/>
  <c r="F820" i="2"/>
  <c r="A821" i="2"/>
  <c r="D821" i="2"/>
  <c r="E821" i="2"/>
  <c r="F821" i="2"/>
  <c r="A822" i="2"/>
  <c r="C822" i="2" s="1"/>
  <c r="D822" i="2"/>
  <c r="E822" i="2"/>
  <c r="F822" i="2"/>
  <c r="A823" i="2"/>
  <c r="B823" i="2" s="1"/>
  <c r="D823" i="2"/>
  <c r="E823" i="2"/>
  <c r="F823" i="2"/>
  <c r="A824" i="2"/>
  <c r="C70" i="2" s="1"/>
  <c r="D824" i="2"/>
  <c r="E824" i="2"/>
  <c r="F824" i="2"/>
  <c r="A825" i="2"/>
  <c r="D825" i="2"/>
  <c r="E825" i="2"/>
  <c r="F825" i="2"/>
  <c r="A826" i="2"/>
  <c r="B826" i="2" s="1"/>
  <c r="D826" i="2"/>
  <c r="E826" i="2"/>
  <c r="F826" i="2"/>
  <c r="A827" i="2"/>
  <c r="D827" i="2"/>
  <c r="E827" i="2"/>
  <c r="F827" i="2"/>
  <c r="A828" i="2"/>
  <c r="C828" i="2" s="1"/>
  <c r="D828" i="2"/>
  <c r="E828" i="2"/>
  <c r="F828" i="2"/>
  <c r="A829" i="2"/>
  <c r="B221" i="2" s="1"/>
  <c r="D829" i="2"/>
  <c r="E829" i="2"/>
  <c r="F829" i="2"/>
  <c r="A830" i="2"/>
  <c r="B160" i="2" s="1"/>
  <c r="D830" i="2"/>
  <c r="E830" i="2"/>
  <c r="F830" i="2"/>
  <c r="A831" i="2"/>
  <c r="B831" i="2" s="1"/>
  <c r="D831" i="2"/>
  <c r="E831" i="2"/>
  <c r="F831" i="2"/>
  <c r="A832" i="2"/>
  <c r="C120" i="2" s="1"/>
  <c r="C832" i="2"/>
  <c r="D832" i="2"/>
  <c r="E832" i="2"/>
  <c r="F832" i="2"/>
  <c r="A833" i="2"/>
  <c r="D833" i="2"/>
  <c r="E833" i="2"/>
  <c r="F833" i="2"/>
  <c r="A834" i="2"/>
  <c r="B834" i="2" s="1"/>
  <c r="D834" i="2"/>
  <c r="E834" i="2"/>
  <c r="F834" i="2"/>
  <c r="A835" i="2"/>
  <c r="D835" i="2"/>
  <c r="E835" i="2"/>
  <c r="F835" i="2"/>
  <c r="A836" i="2"/>
  <c r="D836" i="2"/>
  <c r="E836" i="2"/>
  <c r="F836" i="2"/>
  <c r="A837" i="2"/>
  <c r="C655" i="2" s="1"/>
  <c r="D837" i="2"/>
  <c r="E837" i="2"/>
  <c r="F837" i="2"/>
  <c r="A838" i="2"/>
  <c r="D838" i="2"/>
  <c r="E838" i="2"/>
  <c r="F838" i="2"/>
  <c r="A839" i="2"/>
  <c r="C839" i="2" s="1"/>
  <c r="D839" i="2"/>
  <c r="E839" i="2"/>
  <c r="F839" i="2"/>
  <c r="A840" i="2"/>
  <c r="C840" i="2" s="1"/>
  <c r="D840" i="2"/>
  <c r="E840" i="2"/>
  <c r="F840" i="2"/>
  <c r="A841" i="2"/>
  <c r="D841" i="2"/>
  <c r="E841" i="2"/>
  <c r="F841" i="2"/>
  <c r="A842" i="2"/>
  <c r="B53" i="2" s="1"/>
  <c r="D842" i="2"/>
  <c r="E842" i="2"/>
  <c r="F842" i="2"/>
  <c r="A843" i="2"/>
  <c r="B843" i="2" s="1"/>
  <c r="D843" i="2"/>
  <c r="E843" i="2"/>
  <c r="F843" i="2"/>
  <c r="A844" i="2"/>
  <c r="D844" i="2"/>
  <c r="E844" i="2"/>
  <c r="F844" i="2"/>
  <c r="A845" i="2"/>
  <c r="D845" i="2"/>
  <c r="E845" i="2"/>
  <c r="F845" i="2"/>
  <c r="A846" i="2"/>
  <c r="C846" i="2" s="1"/>
  <c r="D846" i="2"/>
  <c r="E846" i="2"/>
  <c r="F846" i="2"/>
  <c r="A847" i="2"/>
  <c r="D847" i="2"/>
  <c r="E847" i="2"/>
  <c r="F847" i="2"/>
  <c r="A848" i="2"/>
  <c r="C848" i="2" s="1"/>
  <c r="D848" i="2"/>
  <c r="E848" i="2"/>
  <c r="F848" i="2"/>
  <c r="A849" i="2"/>
  <c r="D849" i="2"/>
  <c r="E849" i="2"/>
  <c r="F849" i="2"/>
  <c r="A850" i="2"/>
  <c r="B850" i="2" s="1"/>
  <c r="D850" i="2"/>
  <c r="E850" i="2"/>
  <c r="F850" i="2"/>
  <c r="A851" i="2"/>
  <c r="B851" i="2" s="1"/>
  <c r="D851" i="2"/>
  <c r="E851" i="2"/>
  <c r="F851" i="2"/>
  <c r="A852" i="2"/>
  <c r="B852" i="2" s="1"/>
  <c r="D852" i="2"/>
  <c r="E852" i="2"/>
  <c r="F852" i="2"/>
  <c r="A853" i="2"/>
  <c r="D853" i="2"/>
  <c r="E853" i="2"/>
  <c r="F853" i="2"/>
  <c r="A854" i="2"/>
  <c r="C854" i="2" s="1"/>
  <c r="D854" i="2"/>
  <c r="E854" i="2"/>
  <c r="F854" i="2"/>
  <c r="A855" i="2"/>
  <c r="D855" i="2"/>
  <c r="E855" i="2"/>
  <c r="F855" i="2"/>
  <c r="A856" i="2"/>
  <c r="C64" i="2" s="1"/>
  <c r="D856" i="2"/>
  <c r="E856" i="2"/>
  <c r="F856" i="2"/>
  <c r="A857" i="2"/>
  <c r="D857" i="2"/>
  <c r="E857" i="2"/>
  <c r="F857" i="2"/>
  <c r="A858" i="2"/>
  <c r="D858" i="2"/>
  <c r="E858" i="2"/>
  <c r="F858" i="2"/>
  <c r="A859" i="2"/>
  <c r="C859" i="2" s="1"/>
  <c r="D859" i="2"/>
  <c r="E859" i="2"/>
  <c r="F859" i="2"/>
  <c r="A860" i="2"/>
  <c r="D860" i="2"/>
  <c r="E860" i="2"/>
  <c r="F860" i="2"/>
  <c r="A861" i="2"/>
  <c r="D861" i="2"/>
  <c r="E861" i="2"/>
  <c r="F861" i="2"/>
  <c r="A862" i="2"/>
  <c r="B208" i="2" s="1"/>
  <c r="D862" i="2"/>
  <c r="E862" i="2"/>
  <c r="F862" i="2"/>
  <c r="A863" i="2"/>
  <c r="D863" i="2"/>
  <c r="E863" i="2"/>
  <c r="F863" i="2"/>
  <c r="A864" i="2"/>
  <c r="B581" i="2" s="1"/>
  <c r="D864" i="2"/>
  <c r="E864" i="2"/>
  <c r="F864" i="2"/>
  <c r="A865" i="2"/>
  <c r="D865" i="2"/>
  <c r="E865" i="2"/>
  <c r="F865" i="2"/>
  <c r="A866" i="2"/>
  <c r="B866" i="2" s="1"/>
  <c r="D866" i="2"/>
  <c r="E866" i="2"/>
  <c r="F866" i="2"/>
  <c r="A867" i="2"/>
  <c r="D867" i="2"/>
  <c r="E867" i="2"/>
  <c r="F867" i="2"/>
  <c r="A868" i="2"/>
  <c r="D868" i="2"/>
  <c r="E868" i="2"/>
  <c r="F868" i="2"/>
  <c r="A869" i="2"/>
  <c r="D869" i="2"/>
  <c r="E869" i="2"/>
  <c r="F869" i="2"/>
  <c r="A870" i="2"/>
  <c r="C870" i="2" s="1"/>
  <c r="D870" i="2"/>
  <c r="E870" i="2"/>
  <c r="F870" i="2"/>
  <c r="A871" i="2"/>
  <c r="D871" i="2"/>
  <c r="E871" i="2"/>
  <c r="F871" i="2"/>
  <c r="A872" i="2"/>
  <c r="C872" i="2" s="1"/>
  <c r="D872" i="2"/>
  <c r="E872" i="2"/>
  <c r="F872" i="2"/>
  <c r="A873" i="2"/>
  <c r="D873" i="2"/>
  <c r="E873" i="2"/>
  <c r="F873" i="2"/>
  <c r="A874" i="2"/>
  <c r="D874" i="2"/>
  <c r="E874" i="2"/>
  <c r="F874" i="2"/>
  <c r="A875" i="2"/>
  <c r="B875" i="2" s="1"/>
  <c r="D875" i="2"/>
  <c r="E875" i="2"/>
  <c r="F875" i="2"/>
  <c r="A876" i="2"/>
  <c r="B876" i="2" s="1"/>
  <c r="D876" i="2"/>
  <c r="E876" i="2"/>
  <c r="F876" i="2"/>
  <c r="A877" i="2"/>
  <c r="C385" i="2" s="1"/>
  <c r="D877" i="2"/>
  <c r="E877" i="2"/>
  <c r="F877" i="2"/>
  <c r="A878" i="2"/>
  <c r="B878" i="2" s="1"/>
  <c r="D878" i="2"/>
  <c r="E878" i="2"/>
  <c r="F878" i="2"/>
  <c r="A879" i="2"/>
  <c r="D879" i="2"/>
  <c r="E879" i="2"/>
  <c r="F879" i="2"/>
  <c r="A880" i="2"/>
  <c r="D880" i="2"/>
  <c r="E880" i="2"/>
  <c r="F880" i="2"/>
  <c r="A881" i="2"/>
  <c r="B340" i="2" s="1"/>
  <c r="D881" i="2"/>
  <c r="E881" i="2"/>
  <c r="F881" i="2"/>
  <c r="A882" i="2"/>
  <c r="D882" i="2"/>
  <c r="E882" i="2"/>
  <c r="F882" i="2"/>
  <c r="A883" i="2"/>
  <c r="B883" i="2" s="1"/>
  <c r="D883" i="2"/>
  <c r="E883" i="2"/>
  <c r="F883" i="2"/>
  <c r="A884" i="2"/>
  <c r="B884" i="2" s="1"/>
  <c r="D884" i="2"/>
  <c r="E884" i="2"/>
  <c r="F884" i="2"/>
  <c r="A885" i="2"/>
  <c r="D885" i="2"/>
  <c r="E885" i="2"/>
  <c r="F885" i="2"/>
  <c r="A886" i="2"/>
  <c r="B886" i="2" s="1"/>
  <c r="D886" i="2"/>
  <c r="E886" i="2"/>
  <c r="F886" i="2"/>
  <c r="A887" i="2"/>
  <c r="B887" i="2" s="1"/>
  <c r="D887" i="2"/>
  <c r="E887" i="2"/>
  <c r="F887" i="2"/>
  <c r="A888" i="2"/>
  <c r="C888" i="2" s="1"/>
  <c r="D888" i="2"/>
  <c r="E888" i="2"/>
  <c r="F888" i="2"/>
  <c r="A889" i="2"/>
  <c r="B889" i="2" s="1"/>
  <c r="D889" i="2"/>
  <c r="E889" i="2"/>
  <c r="F889" i="2"/>
  <c r="A890" i="2"/>
  <c r="B890" i="2" s="1"/>
  <c r="D890" i="2"/>
  <c r="E890" i="2"/>
  <c r="F890" i="2"/>
  <c r="A891" i="2"/>
  <c r="B153" i="2" s="1"/>
  <c r="C891" i="2"/>
  <c r="D891" i="2"/>
  <c r="E891" i="2"/>
  <c r="F891" i="2"/>
  <c r="A892" i="2"/>
  <c r="C892" i="2" s="1"/>
  <c r="D892" i="2"/>
  <c r="E892" i="2"/>
  <c r="F892" i="2"/>
  <c r="A893" i="2"/>
  <c r="D893" i="2"/>
  <c r="E893" i="2"/>
  <c r="F893" i="2"/>
  <c r="A894" i="2"/>
  <c r="D894" i="2"/>
  <c r="E894" i="2"/>
  <c r="F894" i="2"/>
  <c r="A895" i="2"/>
  <c r="C895" i="2" s="1"/>
  <c r="D895" i="2"/>
  <c r="E895" i="2"/>
  <c r="F895" i="2"/>
  <c r="A896" i="2"/>
  <c r="C624" i="2" s="1"/>
  <c r="D896" i="2"/>
  <c r="E896" i="2"/>
  <c r="F896" i="2"/>
  <c r="A897" i="2"/>
  <c r="C897" i="2" s="1"/>
  <c r="D897" i="2"/>
  <c r="E897" i="2"/>
  <c r="F897" i="2"/>
  <c r="A898" i="2"/>
  <c r="C898" i="2" s="1"/>
  <c r="D898" i="2"/>
  <c r="E898" i="2"/>
  <c r="F898" i="2"/>
  <c r="A899" i="2"/>
  <c r="C899" i="2" s="1"/>
  <c r="D899" i="2"/>
  <c r="E899" i="2"/>
  <c r="F899" i="2"/>
  <c r="A900" i="2"/>
  <c r="B900" i="2" s="1"/>
  <c r="D900" i="2"/>
  <c r="E900" i="2"/>
  <c r="F900" i="2"/>
  <c r="A901" i="2"/>
  <c r="B901" i="2" s="1"/>
  <c r="D901" i="2"/>
  <c r="E901" i="2"/>
  <c r="F901" i="2"/>
  <c r="A902" i="2"/>
  <c r="B656" i="2" s="1"/>
  <c r="D902" i="2"/>
  <c r="E902" i="2"/>
  <c r="F902" i="2"/>
  <c r="A903" i="2"/>
  <c r="D903" i="2"/>
  <c r="E903" i="2"/>
  <c r="F903" i="2"/>
  <c r="A904" i="2"/>
  <c r="D904" i="2"/>
  <c r="E904" i="2"/>
  <c r="F904" i="2"/>
  <c r="A905" i="2"/>
  <c r="B905" i="2" s="1"/>
  <c r="C905" i="2"/>
  <c r="D905" i="2"/>
  <c r="E905" i="2"/>
  <c r="F905" i="2"/>
  <c r="A906" i="2"/>
  <c r="B906" i="2" s="1"/>
  <c r="D906" i="2"/>
  <c r="E906" i="2"/>
  <c r="F906" i="2"/>
  <c r="A907" i="2"/>
  <c r="C284" i="2" s="1"/>
  <c r="B907" i="2"/>
  <c r="D907" i="2"/>
  <c r="E907" i="2"/>
  <c r="F907" i="2"/>
  <c r="A908" i="2"/>
  <c r="B73" i="2" s="1"/>
  <c r="D908" i="2"/>
  <c r="E908" i="2"/>
  <c r="F908" i="2"/>
  <c r="A909" i="2"/>
  <c r="B909" i="2" s="1"/>
  <c r="D909" i="2"/>
  <c r="E909" i="2"/>
  <c r="F909" i="2"/>
  <c r="A910" i="2"/>
  <c r="D910" i="2"/>
  <c r="E910" i="2"/>
  <c r="F910" i="2"/>
  <c r="A911" i="2"/>
  <c r="C911" i="2" s="1"/>
  <c r="D911" i="2"/>
  <c r="E911" i="2"/>
  <c r="F911" i="2"/>
  <c r="A912" i="2"/>
  <c r="B912" i="2" s="1"/>
  <c r="D912" i="2"/>
  <c r="E912" i="2"/>
  <c r="F912" i="2"/>
  <c r="A913" i="2"/>
  <c r="B913" i="2" s="1"/>
  <c r="D913" i="2"/>
  <c r="E913" i="2"/>
  <c r="F913" i="2"/>
  <c r="A914" i="2"/>
  <c r="B914" i="2" s="1"/>
  <c r="D914" i="2"/>
  <c r="E914" i="2"/>
  <c r="F914" i="2"/>
  <c r="A915" i="2"/>
  <c r="C915" i="2"/>
  <c r="D915" i="2"/>
  <c r="E915" i="2"/>
  <c r="F915" i="2"/>
  <c r="A916" i="2"/>
  <c r="C434" i="2" s="1"/>
  <c r="C916" i="2"/>
  <c r="D916" i="2"/>
  <c r="E916" i="2"/>
  <c r="F916" i="2"/>
  <c r="A917" i="2"/>
  <c r="C650" i="2" s="1"/>
  <c r="D917" i="2"/>
  <c r="E917" i="2"/>
  <c r="F917" i="2"/>
  <c r="A918" i="2"/>
  <c r="C918" i="2" s="1"/>
  <c r="B918" i="2"/>
  <c r="D918" i="2"/>
  <c r="E918" i="2"/>
  <c r="F918" i="2"/>
  <c r="A919" i="2"/>
  <c r="B919" i="2" s="1"/>
  <c r="D919" i="2"/>
  <c r="E919" i="2"/>
  <c r="F919" i="2"/>
  <c r="A920" i="2"/>
  <c r="C920" i="2" s="1"/>
  <c r="D920" i="2"/>
  <c r="E920" i="2"/>
  <c r="F920" i="2"/>
  <c r="A921" i="2"/>
  <c r="D921" i="2"/>
  <c r="E921" i="2"/>
  <c r="F921" i="2"/>
  <c r="A922" i="2"/>
  <c r="B922" i="2" s="1"/>
  <c r="C922" i="2"/>
  <c r="D922" i="2"/>
  <c r="E922" i="2"/>
  <c r="F922" i="2"/>
  <c r="A923" i="2"/>
  <c r="C923" i="2" s="1"/>
  <c r="B923" i="2"/>
  <c r="D923" i="2"/>
  <c r="E923" i="2"/>
  <c r="F923" i="2"/>
  <c r="A924" i="2"/>
  <c r="B924" i="2" s="1"/>
  <c r="D924" i="2"/>
  <c r="E924" i="2"/>
  <c r="F924" i="2"/>
  <c r="A925" i="2"/>
  <c r="C925" i="2" s="1"/>
  <c r="D925" i="2"/>
  <c r="E925" i="2"/>
  <c r="F925" i="2"/>
  <c r="A926" i="2"/>
  <c r="C926" i="2" s="1"/>
  <c r="D926" i="2"/>
  <c r="E926" i="2"/>
  <c r="F926" i="2"/>
  <c r="A927" i="2"/>
  <c r="B927" i="2" s="1"/>
  <c r="D927" i="2"/>
  <c r="E927" i="2"/>
  <c r="F927" i="2"/>
  <c r="A928" i="2"/>
  <c r="B928" i="2" s="1"/>
  <c r="D928" i="2"/>
  <c r="E928" i="2"/>
  <c r="F928" i="2"/>
  <c r="A929" i="2"/>
  <c r="D929" i="2"/>
  <c r="E929" i="2"/>
  <c r="F929" i="2"/>
  <c r="A930" i="2"/>
  <c r="B930" i="2" s="1"/>
  <c r="D930" i="2"/>
  <c r="E930" i="2"/>
  <c r="F930" i="2"/>
  <c r="A931" i="2"/>
  <c r="B931" i="2" s="1"/>
  <c r="D931" i="2"/>
  <c r="E931" i="2"/>
  <c r="F931" i="2"/>
  <c r="A932" i="2"/>
  <c r="D932" i="2"/>
  <c r="E932" i="2"/>
  <c r="F932" i="2"/>
  <c r="A933" i="2"/>
  <c r="C933" i="2" s="1"/>
  <c r="D933" i="2"/>
  <c r="E933" i="2"/>
  <c r="F933" i="2"/>
  <c r="A934" i="2"/>
  <c r="C567" i="2" s="1"/>
  <c r="B934" i="2"/>
  <c r="D934" i="2"/>
  <c r="E934" i="2"/>
  <c r="F934" i="2"/>
  <c r="A935" i="2"/>
  <c r="D935" i="2"/>
  <c r="E935" i="2"/>
  <c r="F935" i="2"/>
  <c r="A936" i="2"/>
  <c r="C936" i="2" s="1"/>
  <c r="D936" i="2"/>
  <c r="E936" i="2"/>
  <c r="F936" i="2"/>
  <c r="A937" i="2"/>
  <c r="C937" i="2" s="1"/>
  <c r="D937" i="2"/>
  <c r="E937" i="2"/>
  <c r="F937" i="2"/>
  <c r="A938" i="2"/>
  <c r="C938" i="2" s="1"/>
  <c r="D938" i="2"/>
  <c r="E938" i="2"/>
  <c r="F938" i="2"/>
  <c r="A939" i="2"/>
  <c r="B939" i="2" s="1"/>
  <c r="D939" i="2"/>
  <c r="E939" i="2"/>
  <c r="F939" i="2"/>
  <c r="A940" i="2"/>
  <c r="B940" i="2" s="1"/>
  <c r="D940" i="2"/>
  <c r="E940" i="2"/>
  <c r="F940" i="2"/>
  <c r="A941" i="2"/>
  <c r="C941" i="2" s="1"/>
  <c r="D941" i="2"/>
  <c r="E941" i="2"/>
  <c r="F941" i="2"/>
  <c r="A942" i="2"/>
  <c r="D942" i="2"/>
  <c r="E942" i="2"/>
  <c r="F942" i="2"/>
  <c r="A943" i="2"/>
  <c r="B943" i="2" s="1"/>
  <c r="D943" i="2"/>
  <c r="E943" i="2"/>
  <c r="F943" i="2"/>
  <c r="A944" i="2"/>
  <c r="B944" i="2"/>
  <c r="C944" i="2"/>
  <c r="D944" i="2"/>
  <c r="E944" i="2"/>
  <c r="F944" i="2"/>
  <c r="A945" i="2"/>
  <c r="C945" i="2" s="1"/>
  <c r="D945" i="2"/>
  <c r="E945" i="2"/>
  <c r="F945" i="2"/>
  <c r="A946" i="2"/>
  <c r="C946" i="2" s="1"/>
  <c r="D946" i="2"/>
  <c r="E946" i="2"/>
  <c r="F946" i="2"/>
  <c r="A947" i="2"/>
  <c r="B947" i="2"/>
  <c r="C947" i="2"/>
  <c r="D947" i="2"/>
  <c r="E947" i="2"/>
  <c r="F947" i="2"/>
  <c r="A948" i="2"/>
  <c r="C948" i="2" s="1"/>
  <c r="B948" i="2"/>
  <c r="D948" i="2"/>
  <c r="E948" i="2"/>
  <c r="F948" i="2"/>
  <c r="A949" i="2"/>
  <c r="C949" i="2" s="1"/>
  <c r="D949" i="2"/>
  <c r="E949" i="2"/>
  <c r="F949" i="2"/>
  <c r="A950" i="2"/>
  <c r="B950" i="2" s="1"/>
  <c r="D950" i="2"/>
  <c r="E950" i="2"/>
  <c r="F950" i="2"/>
  <c r="A951" i="2"/>
  <c r="B951" i="2" s="1"/>
  <c r="D951" i="2"/>
  <c r="E951" i="2"/>
  <c r="F951" i="2"/>
  <c r="A952" i="2"/>
  <c r="C952" i="2" s="1"/>
  <c r="D952" i="2"/>
  <c r="E952" i="2"/>
  <c r="F952" i="2"/>
  <c r="A953" i="2"/>
  <c r="D953" i="2"/>
  <c r="E953" i="2"/>
  <c r="F953" i="2"/>
  <c r="A954" i="2"/>
  <c r="C954" i="2" s="1"/>
  <c r="D954" i="2"/>
  <c r="E954" i="2"/>
  <c r="F954" i="2"/>
  <c r="A955" i="2"/>
  <c r="B955" i="2" s="1"/>
  <c r="D955" i="2"/>
  <c r="E955" i="2"/>
  <c r="F955" i="2"/>
  <c r="A956" i="2"/>
  <c r="B956" i="2" s="1"/>
  <c r="D956" i="2"/>
  <c r="E956" i="2"/>
  <c r="F956" i="2"/>
  <c r="A957" i="2"/>
  <c r="C957" i="2" s="1"/>
  <c r="D957" i="2"/>
  <c r="E957" i="2"/>
  <c r="F957" i="2"/>
  <c r="A958" i="2"/>
  <c r="C958" i="2" s="1"/>
  <c r="D958" i="2"/>
  <c r="E958" i="2"/>
  <c r="F958" i="2"/>
  <c r="A959" i="2"/>
  <c r="B959" i="2" s="1"/>
  <c r="C959" i="2"/>
  <c r="D959" i="2"/>
  <c r="E959" i="2"/>
  <c r="F959" i="2"/>
  <c r="A960" i="2"/>
  <c r="B307" i="2" s="1"/>
  <c r="D960" i="2"/>
  <c r="E960" i="2"/>
  <c r="F960" i="2"/>
  <c r="A961" i="2"/>
  <c r="C961" i="2" s="1"/>
  <c r="D961" i="2"/>
  <c r="E961" i="2"/>
  <c r="F961" i="2"/>
  <c r="A962" i="2"/>
  <c r="B962" i="2" s="1"/>
  <c r="C962" i="2"/>
  <c r="D962" i="2"/>
  <c r="E962" i="2"/>
  <c r="F962" i="2"/>
  <c r="A963" i="2"/>
  <c r="B963" i="2" s="1"/>
  <c r="C963" i="2"/>
  <c r="D963" i="2"/>
  <c r="E963" i="2"/>
  <c r="F963" i="2"/>
  <c r="A964" i="2"/>
  <c r="C964" i="2" s="1"/>
  <c r="D964" i="2"/>
  <c r="E964" i="2"/>
  <c r="F964" i="2"/>
  <c r="A965" i="2"/>
  <c r="C965" i="2"/>
  <c r="D965" i="2"/>
  <c r="E965" i="2"/>
  <c r="F965" i="2"/>
  <c r="A966" i="2"/>
  <c r="B966" i="2" s="1"/>
  <c r="C966" i="2"/>
  <c r="D966" i="2"/>
  <c r="E966" i="2"/>
  <c r="F966" i="2"/>
  <c r="A967" i="2"/>
  <c r="D967" i="2"/>
  <c r="E967" i="2"/>
  <c r="F967" i="2"/>
  <c r="A968" i="2"/>
  <c r="B968" i="2" s="1"/>
  <c r="D968" i="2"/>
  <c r="E968" i="2"/>
  <c r="F968" i="2"/>
  <c r="A969" i="2"/>
  <c r="C969" i="2" s="1"/>
  <c r="D969" i="2"/>
  <c r="E969" i="2"/>
  <c r="F969" i="2"/>
  <c r="A970" i="2"/>
  <c r="D970" i="2"/>
  <c r="E970" i="2"/>
  <c r="F970" i="2"/>
  <c r="A971" i="2"/>
  <c r="D971" i="2"/>
  <c r="E971" i="2"/>
  <c r="F971" i="2"/>
  <c r="A972" i="2"/>
  <c r="B972" i="2" s="1"/>
  <c r="D972" i="2"/>
  <c r="E972" i="2"/>
  <c r="F972" i="2"/>
  <c r="A973" i="2"/>
  <c r="C973" i="2" s="1"/>
  <c r="D973" i="2"/>
  <c r="E973" i="2"/>
  <c r="F973" i="2"/>
  <c r="A974" i="2"/>
  <c r="D974" i="2"/>
  <c r="E974" i="2"/>
  <c r="F974" i="2"/>
  <c r="A975" i="2"/>
  <c r="B421" i="2" s="1"/>
  <c r="D975" i="2"/>
  <c r="E975" i="2"/>
  <c r="F975" i="2"/>
  <c r="A976" i="2"/>
  <c r="D976" i="2"/>
  <c r="E976" i="2"/>
  <c r="F976" i="2"/>
  <c r="A977" i="2"/>
  <c r="C977" i="2" s="1"/>
  <c r="D977" i="2"/>
  <c r="E977" i="2"/>
  <c r="F977" i="2"/>
  <c r="A978" i="2"/>
  <c r="B978" i="2" s="1"/>
  <c r="D978" i="2"/>
  <c r="E978" i="2"/>
  <c r="F978" i="2"/>
  <c r="A979" i="2"/>
  <c r="C979" i="2" s="1"/>
  <c r="B979" i="2"/>
  <c r="D979" i="2"/>
  <c r="E979" i="2"/>
  <c r="F979" i="2"/>
  <c r="A980" i="2"/>
  <c r="B980" i="2" s="1"/>
  <c r="D980" i="2"/>
  <c r="E980" i="2"/>
  <c r="F980" i="2"/>
  <c r="A981" i="2"/>
  <c r="B981" i="2" s="1"/>
  <c r="D981" i="2"/>
  <c r="E981" i="2"/>
  <c r="F981" i="2"/>
  <c r="A982" i="2"/>
  <c r="C982" i="2" s="1"/>
  <c r="D982" i="2"/>
  <c r="E982" i="2"/>
  <c r="F982" i="2"/>
  <c r="A983" i="2"/>
  <c r="D983" i="2"/>
  <c r="E983" i="2"/>
  <c r="F983" i="2"/>
  <c r="A984" i="2"/>
  <c r="B984" i="2" s="1"/>
  <c r="C984" i="2"/>
  <c r="D984" i="2"/>
  <c r="E984" i="2"/>
  <c r="F984" i="2"/>
  <c r="A985" i="2"/>
  <c r="D985" i="2"/>
  <c r="E985" i="2"/>
  <c r="F985" i="2"/>
  <c r="A986" i="2"/>
  <c r="C986" i="2" s="1"/>
  <c r="D986" i="2"/>
  <c r="E986" i="2"/>
  <c r="F986" i="2"/>
  <c r="A987" i="2"/>
  <c r="B987" i="2"/>
  <c r="D987" i="2"/>
  <c r="E987" i="2"/>
  <c r="F987" i="2"/>
  <c r="A988" i="2"/>
  <c r="B988" i="2"/>
  <c r="D988" i="2"/>
  <c r="E988" i="2"/>
  <c r="F988" i="2"/>
  <c r="A989" i="2"/>
  <c r="C989" i="2" s="1"/>
  <c r="D989" i="2"/>
  <c r="E989" i="2"/>
  <c r="F989" i="2"/>
  <c r="A990" i="2"/>
  <c r="C990" i="2" s="1"/>
  <c r="D990" i="2"/>
  <c r="E990" i="2"/>
  <c r="F990" i="2"/>
  <c r="A991" i="2"/>
  <c r="B991" i="2" s="1"/>
  <c r="D991" i="2"/>
  <c r="E991" i="2"/>
  <c r="F991" i="2"/>
  <c r="A992" i="2"/>
  <c r="B992" i="2" s="1"/>
  <c r="D992" i="2"/>
  <c r="E992" i="2"/>
  <c r="F992" i="2"/>
  <c r="A993" i="2"/>
  <c r="B993" i="2" s="1"/>
  <c r="D993" i="2"/>
  <c r="E993" i="2"/>
  <c r="F993" i="2"/>
  <c r="A994" i="2"/>
  <c r="C994" i="2" s="1"/>
  <c r="D994" i="2"/>
  <c r="E994" i="2"/>
  <c r="F994" i="2"/>
  <c r="A995" i="2"/>
  <c r="C995" i="2" s="1"/>
  <c r="D995" i="2"/>
  <c r="E995" i="2"/>
  <c r="F995" i="2"/>
  <c r="A996" i="2"/>
  <c r="D996" i="2"/>
  <c r="E996" i="2"/>
  <c r="F996" i="2"/>
  <c r="A997" i="2"/>
  <c r="C997" i="2" s="1"/>
  <c r="D997" i="2"/>
  <c r="E997" i="2"/>
  <c r="F997" i="2"/>
  <c r="A998" i="2"/>
  <c r="C998" i="2" s="1"/>
  <c r="D998" i="2"/>
  <c r="E998" i="2"/>
  <c r="F998" i="2"/>
  <c r="A999" i="2"/>
  <c r="B999" i="2" s="1"/>
  <c r="D999" i="2"/>
  <c r="E999" i="2"/>
  <c r="F999" i="2"/>
  <c r="A1000" i="2"/>
  <c r="B1000" i="2" s="1"/>
  <c r="D1000" i="2"/>
  <c r="E1000" i="2"/>
  <c r="F1000" i="2"/>
  <c r="A1001" i="2"/>
  <c r="C1001" i="2" s="1"/>
  <c r="D1001" i="2"/>
  <c r="E1001" i="2"/>
  <c r="F1001" i="2"/>
  <c r="E2" i="2"/>
  <c r="F2" i="2"/>
  <c r="D2" i="2"/>
  <c r="A2" i="2"/>
  <c r="C446" i="2" s="1"/>
  <c r="B2" i="4" l="1"/>
  <c r="D2" i="4" s="1"/>
  <c r="E2" i="4" s="1"/>
  <c r="F2" i="4" s="1"/>
  <c r="B2" i="2"/>
  <c r="B995" i="2"/>
  <c r="C643" i="2"/>
  <c r="C913" i="2"/>
  <c r="C548" i="2"/>
  <c r="C824" i="2"/>
  <c r="C803" i="2"/>
  <c r="C769" i="2"/>
  <c r="B737" i="2"/>
  <c r="B712" i="2"/>
  <c r="B442" i="2"/>
  <c r="C635" i="2"/>
  <c r="C470" i="2"/>
  <c r="C414" i="2"/>
  <c r="C24" i="2"/>
  <c r="B554" i="2"/>
  <c r="C423" i="2"/>
  <c r="C8" i="2"/>
  <c r="B255" i="2"/>
  <c r="B938" i="2"/>
  <c r="C901" i="2"/>
  <c r="B870" i="2"/>
  <c r="B806" i="2"/>
  <c r="B726" i="2"/>
  <c r="B772" i="2"/>
  <c r="B725" i="2"/>
  <c r="B477" i="2"/>
  <c r="B609" i="2"/>
  <c r="B350" i="2"/>
  <c r="B588" i="2"/>
  <c r="B251" i="2"/>
  <c r="C485" i="2"/>
  <c r="B32" i="2"/>
  <c r="B994" i="2"/>
  <c r="B57" i="2"/>
  <c r="C887" i="2"/>
  <c r="B848" i="2"/>
  <c r="B332" i="2"/>
  <c r="C564" i="2"/>
  <c r="C794" i="2"/>
  <c r="B709" i="2"/>
  <c r="C275" i="2"/>
  <c r="B325" i="2"/>
  <c r="C657" i="2"/>
  <c r="B630" i="2"/>
  <c r="B303" i="2"/>
  <c r="B461" i="2"/>
  <c r="B212" i="2"/>
  <c r="B213" i="2"/>
  <c r="B990" i="2"/>
  <c r="C981" i="2"/>
  <c r="C763" i="2"/>
  <c r="C883" i="2"/>
  <c r="B840" i="2"/>
  <c r="B792" i="2"/>
  <c r="C777" i="2"/>
  <c r="C745" i="2"/>
  <c r="B620" i="2"/>
  <c r="C54" i="2"/>
  <c r="B301" i="2"/>
  <c r="B227" i="2"/>
  <c r="B20" i="2"/>
  <c r="C5" i="2"/>
  <c r="C993" i="2"/>
  <c r="B842" i="2"/>
  <c r="C819" i="2"/>
  <c r="C806" i="2"/>
  <c r="B803" i="2"/>
  <c r="B740" i="2"/>
  <c r="B898" i="2"/>
  <c r="C704" i="2"/>
  <c r="B693" i="2"/>
  <c r="B653" i="2"/>
  <c r="C640" i="2"/>
  <c r="C627" i="2"/>
  <c r="C583" i="2"/>
  <c r="B541" i="2"/>
  <c r="C536" i="2"/>
  <c r="B490" i="2"/>
  <c r="B466" i="2"/>
  <c r="B450" i="2"/>
  <c r="C413" i="2"/>
  <c r="C264" i="2"/>
  <c r="C455" i="2"/>
  <c r="C940" i="2"/>
  <c r="C908" i="2"/>
  <c r="C884" i="2"/>
  <c r="C862" i="2"/>
  <c r="C762" i="2"/>
  <c r="C752" i="2"/>
  <c r="C286" i="2"/>
  <c r="B196" i="2"/>
  <c r="C84" i="2"/>
  <c r="C968" i="2"/>
  <c r="B908" i="2"/>
  <c r="B862" i="2"/>
  <c r="B804" i="2"/>
  <c r="B795" i="2"/>
  <c r="B778" i="2"/>
  <c r="C725" i="2"/>
  <c r="B714" i="2"/>
  <c r="C698" i="2"/>
  <c r="C672" i="2"/>
  <c r="C592" i="2"/>
  <c r="C497" i="2"/>
  <c r="C488" i="2"/>
  <c r="C699" i="2"/>
  <c r="B209" i="2"/>
  <c r="B161" i="2"/>
  <c r="B3" i="4"/>
  <c r="B4" i="4"/>
  <c r="D3" i="4" s="1"/>
  <c r="C987" i="2"/>
  <c r="B975" i="2"/>
  <c r="B946" i="2"/>
  <c r="C943" i="2"/>
  <c r="C931" i="2"/>
  <c r="C924" i="2"/>
  <c r="B916" i="2"/>
  <c r="C909" i="2"/>
  <c r="C906" i="2"/>
  <c r="C890" i="2"/>
  <c r="C878" i="2"/>
  <c r="B867" i="2"/>
  <c r="B854" i="2"/>
  <c r="B832" i="2"/>
  <c r="C823" i="2"/>
  <c r="C790" i="2"/>
  <c r="B760" i="2"/>
  <c r="B730" i="2"/>
  <c r="C593" i="2"/>
  <c r="B565" i="2"/>
  <c r="C508" i="2"/>
  <c r="C336" i="2"/>
  <c r="B95" i="2"/>
  <c r="C927" i="2"/>
  <c r="C876" i="2"/>
  <c r="C852" i="2"/>
  <c r="B830" i="2"/>
  <c r="C798" i="2"/>
  <c r="C788" i="2"/>
  <c r="B784" i="2"/>
  <c r="C739" i="2"/>
  <c r="C715" i="2"/>
  <c r="B637" i="2"/>
  <c r="B622" i="2"/>
  <c r="C615" i="2"/>
  <c r="B593" i="2"/>
  <c r="C540" i="2"/>
  <c r="B498" i="2"/>
  <c r="B489" i="2"/>
  <c r="C476" i="2"/>
  <c r="C465" i="2"/>
  <c r="C980" i="2"/>
  <c r="B964" i="2"/>
  <c r="C917" i="2"/>
  <c r="B902" i="2"/>
  <c r="B888" i="2"/>
  <c r="B839" i="2"/>
  <c r="C826" i="2"/>
  <c r="B810" i="2"/>
  <c r="B393" i="2"/>
  <c r="B127" i="2"/>
  <c r="B147" i="2"/>
  <c r="C934" i="2"/>
  <c r="C976" i="2"/>
  <c r="B814" i="2"/>
  <c r="C814" i="2"/>
  <c r="B718" i="2"/>
  <c r="C718" i="2"/>
  <c r="B452" i="2"/>
  <c r="C452" i="2"/>
  <c r="C687" i="2"/>
  <c r="B904" i="2"/>
  <c r="C606" i="2"/>
  <c r="B844" i="2"/>
  <c r="C481" i="2"/>
  <c r="B666" i="2"/>
  <c r="B660" i="2"/>
  <c r="C660" i="2"/>
  <c r="B634" i="2"/>
  <c r="C634" i="2"/>
  <c r="C231" i="2"/>
  <c r="B231" i="2"/>
  <c r="C2" i="2"/>
  <c r="C262" i="2"/>
  <c r="B986" i="2"/>
  <c r="C972" i="2"/>
  <c r="C403" i="2"/>
  <c r="B954" i="2"/>
  <c r="B816" i="2"/>
  <c r="B915" i="2"/>
  <c r="C775" i="2"/>
  <c r="B895" i="2"/>
  <c r="C369" i="2"/>
  <c r="B871" i="2"/>
  <c r="C871" i="2"/>
  <c r="C483" i="2"/>
  <c r="C851" i="2"/>
  <c r="C503" i="2"/>
  <c r="B812" i="2"/>
  <c r="B486" i="2"/>
  <c r="B716" i="2"/>
  <c r="B686" i="2"/>
  <c r="C686" i="2"/>
  <c r="C680" i="2"/>
  <c r="C404" i="2"/>
  <c r="B677" i="2"/>
  <c r="C612" i="2"/>
  <c r="B612" i="2"/>
  <c r="B610" i="2"/>
  <c r="B520" i="2"/>
  <c r="C520" i="2"/>
  <c r="C107" i="2"/>
  <c r="B501" i="2"/>
  <c r="B358" i="2"/>
  <c r="C358" i="2"/>
  <c r="C27" i="2"/>
  <c r="C697" i="2"/>
  <c r="B858" i="2"/>
  <c r="C858" i="2"/>
  <c r="B808" i="2"/>
  <c r="C808" i="2"/>
  <c r="B702" i="2"/>
  <c r="C702" i="2"/>
  <c r="B464" i="2"/>
  <c r="C464" i="2"/>
  <c r="C388" i="2"/>
  <c r="B776" i="2"/>
  <c r="C552" i="2"/>
  <c r="B734" i="2"/>
  <c r="B534" i="2"/>
  <c r="C700" i="2"/>
  <c r="C440" i="2"/>
  <c r="B648" i="2"/>
  <c r="C648" i="2"/>
  <c r="C646" i="2"/>
  <c r="B646" i="2"/>
  <c r="B173" i="2"/>
  <c r="B983" i="2"/>
  <c r="B241" i="2"/>
  <c r="B970" i="2"/>
  <c r="C531" i="2"/>
  <c r="B952" i="2"/>
  <c r="B247" i="2"/>
  <c r="B926" i="2"/>
  <c r="C751" i="2"/>
  <c r="C950" i="2"/>
  <c r="B929" i="2"/>
  <c r="C929" i="2"/>
  <c r="B982" i="2"/>
  <c r="C919" i="2"/>
  <c r="C886" i="2"/>
  <c r="C591" i="2"/>
  <c r="B874" i="2"/>
  <c r="C874" i="2"/>
  <c r="C118" i="2"/>
  <c r="C784" i="2"/>
  <c r="C758" i="2"/>
  <c r="B758" i="2"/>
  <c r="C633" i="2"/>
  <c r="C748" i="2"/>
  <c r="B719" i="2"/>
  <c r="C719" i="2"/>
  <c r="B663" i="2"/>
  <c r="C663" i="2"/>
  <c r="B659" i="2"/>
  <c r="C659" i="2"/>
  <c r="B932" i="2"/>
  <c r="C617" i="2"/>
  <c r="B586" i="2"/>
  <c r="C586" i="2"/>
  <c r="B747" i="2"/>
  <c r="C747" i="2"/>
  <c r="C353" i="2"/>
  <c r="B570" i="2"/>
  <c r="C22" i="2"/>
  <c r="B911" i="2"/>
  <c r="B621" i="2"/>
  <c r="B894" i="2"/>
  <c r="C894" i="2"/>
  <c r="B721" i="2"/>
  <c r="B872" i="2"/>
  <c r="C955" i="2"/>
  <c r="C843" i="2"/>
  <c r="C451" i="2"/>
  <c r="B822" i="2"/>
  <c r="B69" i="2"/>
  <c r="B811" i="2"/>
  <c r="C811" i="2"/>
  <c r="C694" i="2"/>
  <c r="B694" i="2"/>
  <c r="C309" i="2"/>
  <c r="B674" i="2"/>
  <c r="C674" i="2"/>
  <c r="C10" i="2"/>
  <c r="B604" i="2"/>
  <c r="C604" i="2"/>
  <c r="B117" i="2"/>
  <c r="B936" i="2"/>
  <c r="C496" i="2"/>
  <c r="C1000" i="2"/>
  <c r="B998" i="2"/>
  <c r="C991" i="2"/>
  <c r="C971" i="2"/>
  <c r="B971" i="2"/>
  <c r="C344" i="2"/>
  <c r="B958" i="2"/>
  <c r="C951" i="2"/>
  <c r="B899" i="2"/>
  <c r="C574" i="2"/>
  <c r="B868" i="2"/>
  <c r="C868" i="2"/>
  <c r="C420" i="2"/>
  <c r="B859" i="2"/>
  <c r="B256" i="2"/>
  <c r="C855" i="2"/>
  <c r="B846" i="2"/>
  <c r="B668" i="2"/>
  <c r="B625" i="2"/>
  <c r="C618" i="2"/>
  <c r="B562" i="2"/>
  <c r="B602" i="2"/>
  <c r="B880" i="2"/>
  <c r="C880" i="2"/>
  <c r="C996" i="2"/>
  <c r="B996" i="2"/>
  <c r="C983" i="2"/>
  <c r="B976" i="2"/>
  <c r="C956" i="2"/>
  <c r="C930" i="2"/>
  <c r="C912" i="2"/>
  <c r="C904" i="2"/>
  <c r="C875" i="2"/>
  <c r="C844" i="2"/>
  <c r="B828" i="2"/>
  <c r="C787" i="2"/>
  <c r="B773" i="2"/>
  <c r="C773" i="2"/>
  <c r="B15" i="2"/>
  <c r="B768" i="2"/>
  <c r="C759" i="2"/>
  <c r="C722" i="2"/>
  <c r="B706" i="2"/>
  <c r="C666" i="2"/>
  <c r="B647" i="2"/>
  <c r="C647" i="2"/>
  <c r="C134" i="2"/>
  <c r="B589" i="2"/>
  <c r="C589" i="2"/>
  <c r="B551" i="2"/>
  <c r="C551" i="2"/>
  <c r="B487" i="2"/>
  <c r="C487" i="2"/>
  <c r="C189" i="2"/>
  <c r="B189" i="2"/>
  <c r="C570" i="2"/>
  <c r="C743" i="2"/>
  <c r="B521" i="2"/>
  <c r="C631" i="2"/>
  <c r="C603" i="2"/>
  <c r="C543" i="2"/>
  <c r="B469" i="2"/>
  <c r="C479" i="2"/>
  <c r="C232" i="2"/>
  <c r="C300" i="2"/>
  <c r="C68" i="2"/>
  <c r="B16" i="2"/>
  <c r="C179" i="2"/>
  <c r="B157" i="2"/>
  <c r="C67" i="2"/>
  <c r="B119" i="2"/>
  <c r="B28" i="2"/>
  <c r="C988" i="2"/>
  <c r="B855" i="2"/>
  <c r="C975" i="2"/>
  <c r="C150" i="2"/>
  <c r="C713" i="2"/>
  <c r="B590" i="2"/>
  <c r="C842" i="2"/>
  <c r="C830" i="2"/>
  <c r="C750" i="2"/>
  <c r="C705" i="2"/>
  <c r="C689" i="2"/>
  <c r="B696" i="2"/>
  <c r="B249" i="2"/>
  <c r="B606" i="2"/>
  <c r="C596" i="2"/>
  <c r="C527" i="2"/>
  <c r="C500" i="2"/>
  <c r="C436" i="2"/>
  <c r="C468" i="2"/>
  <c r="C524" i="2"/>
  <c r="C365" i="2"/>
  <c r="B165" i="2"/>
  <c r="C319" i="2"/>
  <c r="B224" i="2"/>
  <c r="C408" i="2"/>
  <c r="B215" i="2"/>
  <c r="B164" i="2"/>
  <c r="C187" i="2"/>
  <c r="C505" i="2"/>
  <c r="C585" i="2"/>
  <c r="C409" i="2"/>
  <c r="C378" i="2"/>
  <c r="B800" i="2"/>
  <c r="C204" i="2"/>
  <c r="C192" i="2"/>
  <c r="C124" i="2"/>
  <c r="C295" i="2"/>
  <c r="C727" i="2"/>
  <c r="C424" i="2"/>
  <c r="C601" i="2"/>
  <c r="C703" i="2"/>
  <c r="C260" i="2"/>
  <c r="C512" i="2"/>
  <c r="C561" i="2"/>
  <c r="C544" i="2"/>
  <c r="C626" i="2"/>
  <c r="B505" i="2"/>
  <c r="C480" i="2"/>
  <c r="B229" i="2"/>
  <c r="C437" i="2"/>
  <c r="B292" i="2"/>
  <c r="B253" i="2"/>
  <c r="B204" i="2"/>
  <c r="B93" i="2"/>
  <c r="B293" i="2"/>
  <c r="B81" i="2"/>
  <c r="B4" i="2"/>
  <c r="C711" i="2"/>
  <c r="C671" i="2"/>
  <c r="C675" i="2"/>
  <c r="C867" i="2"/>
  <c r="C559" i="2"/>
  <c r="C807" i="2"/>
  <c r="C970" i="2"/>
  <c r="C772" i="2"/>
  <c r="C757" i="2"/>
  <c r="B824" i="2"/>
  <c r="C737" i="2"/>
  <c r="B942" i="2"/>
  <c r="B92" i="2"/>
  <c r="C92" i="2"/>
  <c r="B532" i="2"/>
  <c r="B860" i="2"/>
  <c r="C860" i="2"/>
  <c r="B384" i="2"/>
  <c r="C148" i="2"/>
  <c r="B148" i="2"/>
  <c r="C111" i="2"/>
  <c r="B493" i="2"/>
  <c r="C493" i="2"/>
  <c r="B1001" i="2"/>
  <c r="B89" i="2"/>
  <c r="B744" i="2"/>
  <c r="C744" i="2"/>
  <c r="B989" i="2"/>
  <c r="B676" i="2"/>
  <c r="B176" i="2"/>
  <c r="C176" i="2"/>
  <c r="B903" i="2"/>
  <c r="B661" i="2"/>
  <c r="C661" i="2"/>
  <c r="C900" i="2"/>
  <c r="B149" i="2"/>
  <c r="B738" i="2"/>
  <c r="C738" i="2"/>
  <c r="C652" i="2"/>
  <c r="C723" i="2"/>
  <c r="B478" i="2"/>
  <c r="B732" i="2"/>
  <c r="C732" i="2"/>
  <c r="B401" i="2"/>
  <c r="C463" i="2"/>
  <c r="B973" i="2"/>
  <c r="C345" i="2"/>
  <c r="B961" i="2"/>
  <c r="B112" i="2"/>
  <c r="C112" i="2"/>
  <c r="B629" i="2"/>
  <c r="C629" i="2"/>
  <c r="B863" i="2"/>
  <c r="B137" i="2"/>
  <c r="C184" i="2"/>
  <c r="B184" i="2"/>
  <c r="B473" i="2"/>
  <c r="C473" i="2"/>
  <c r="B445" i="2"/>
  <c r="C445" i="2"/>
  <c r="B779" i="2"/>
  <c r="C558" i="2"/>
  <c r="C761" i="2"/>
  <c r="B920" i="2"/>
  <c r="C753" i="2"/>
  <c r="B525" i="2"/>
  <c r="C525" i="2"/>
  <c r="B633" i="2"/>
  <c r="B632" i="2"/>
  <c r="C632" i="2"/>
  <c r="B577" i="2"/>
  <c r="B838" i="2"/>
  <c r="C838" i="2"/>
  <c r="C547" i="2"/>
  <c r="B542" i="2"/>
  <c r="B151" i="2"/>
  <c r="B128" i="2"/>
  <c r="C128" i="2"/>
  <c r="B524" i="2"/>
  <c r="C579" i="2"/>
  <c r="C522" i="2"/>
  <c r="C47" i="2"/>
  <c r="B47" i="2"/>
  <c r="B376" i="2"/>
  <c r="B664" i="2"/>
  <c r="C664" i="2"/>
  <c r="B925" i="2"/>
  <c r="B121" i="2"/>
  <c r="B977" i="2"/>
  <c r="C595" i="2"/>
  <c r="B974" i="2"/>
  <c r="B346" i="2"/>
  <c r="C346" i="2"/>
  <c r="B827" i="2"/>
  <c r="C827" i="2"/>
  <c r="B835" i="2"/>
  <c r="C835" i="2"/>
  <c r="B953" i="2"/>
  <c r="C240" i="2"/>
  <c r="B240" i="2"/>
  <c r="B937" i="2"/>
  <c r="C360" i="2"/>
  <c r="B799" i="2"/>
  <c r="C499" i="2"/>
  <c r="C780" i="2"/>
  <c r="B670" i="2"/>
  <c r="B685" i="2"/>
  <c r="C685" i="2"/>
  <c r="B252" i="2"/>
  <c r="C252" i="2"/>
  <c r="B410" i="2"/>
  <c r="C410" i="2"/>
  <c r="B83" i="2"/>
  <c r="C83" i="2"/>
  <c r="B326" i="2"/>
  <c r="B25" i="2"/>
  <c r="B294" i="2"/>
  <c r="B377" i="2"/>
  <c r="C151" i="2"/>
  <c r="C318" i="2"/>
  <c r="B945" i="2"/>
  <c r="B550" i="2"/>
  <c r="C550" i="2"/>
  <c r="B921" i="2"/>
  <c r="C131" i="2"/>
  <c r="B131" i="2"/>
  <c r="B156" i="2"/>
  <c r="C156" i="2"/>
  <c r="B960" i="2"/>
  <c r="C307" i="2"/>
  <c r="C932" i="2"/>
  <c r="C372" i="2"/>
  <c r="C55" i="2"/>
  <c r="B55" i="2"/>
  <c r="B296" i="2"/>
  <c r="C296" i="2"/>
  <c r="B765" i="2"/>
  <c r="C765" i="2"/>
  <c r="C864" i="2"/>
  <c r="B390" i="2"/>
  <c r="C390" i="2"/>
  <c r="B628" i="2"/>
  <c r="C628" i="2"/>
  <c r="B780" i="2"/>
  <c r="B675" i="2"/>
  <c r="C433" i="2"/>
  <c r="B40" i="2"/>
  <c r="C40" i="2"/>
  <c r="B406" i="2"/>
  <c r="B68" i="2"/>
  <c r="C939" i="2"/>
  <c r="B37" i="2"/>
  <c r="B933" i="2"/>
  <c r="C611" i="2"/>
  <c r="B882" i="2"/>
  <c r="B36" i="2"/>
  <c r="C36" i="2"/>
  <c r="B211" i="2"/>
  <c r="C211" i="2"/>
  <c r="B132" i="2"/>
  <c r="C132" i="2"/>
  <c r="B969" i="2"/>
  <c r="B836" i="2"/>
  <c r="C836" i="2"/>
  <c r="B188" i="2"/>
  <c r="C188" i="2"/>
  <c r="B957" i="2"/>
  <c r="B713" i="2"/>
  <c r="B941" i="2"/>
  <c r="B123" i="2"/>
  <c r="C123" i="2"/>
  <c r="B935" i="2"/>
  <c r="B669" i="2"/>
  <c r="B426" i="2"/>
  <c r="C426" i="2"/>
  <c r="C902" i="2"/>
  <c r="B896" i="2"/>
  <c r="B624" i="2"/>
  <c r="C893" i="2"/>
  <c r="B864" i="2"/>
  <c r="B108" i="2"/>
  <c r="C108" i="2"/>
  <c r="B802" i="2"/>
  <c r="B103" i="2"/>
  <c r="C800" i="2"/>
  <c r="C656" i="2"/>
  <c r="B552" i="2"/>
  <c r="B104" i="2"/>
  <c r="C104" i="2"/>
  <c r="B516" i="2"/>
  <c r="B614" i="2"/>
  <c r="C614" i="2"/>
  <c r="C245" i="2"/>
  <c r="B389" i="2"/>
  <c r="C389" i="2"/>
  <c r="B965" i="2"/>
  <c r="B728" i="2"/>
  <c r="B949" i="2"/>
  <c r="B514" i="2"/>
  <c r="C514" i="2"/>
  <c r="B997" i="2"/>
  <c r="B856" i="2"/>
  <c r="C856" i="2"/>
  <c r="B766" i="2"/>
  <c r="C766" i="2"/>
  <c r="C978" i="2"/>
  <c r="C355" i="2"/>
  <c r="B917" i="2"/>
  <c r="B650" i="2"/>
  <c r="B893" i="2"/>
  <c r="C376" i="2"/>
  <c r="B879" i="2"/>
  <c r="B76" i="2"/>
  <c r="C76" i="2"/>
  <c r="B692" i="2"/>
  <c r="C692" i="2"/>
  <c r="B720" i="2"/>
  <c r="C720" i="2"/>
  <c r="C678" i="2"/>
  <c r="B770" i="2"/>
  <c r="C770" i="2"/>
  <c r="C392" i="2"/>
  <c r="C299" i="2"/>
  <c r="B195" i="2"/>
  <c r="C195" i="2"/>
  <c r="B985" i="2"/>
  <c r="C416" i="2"/>
  <c r="B967" i="2"/>
  <c r="B141" i="2"/>
  <c r="B386" i="2"/>
  <c r="C386" i="2"/>
  <c r="C914" i="2"/>
  <c r="C430" i="2"/>
  <c r="B277" i="2"/>
  <c r="C277" i="2"/>
  <c r="C302" i="2"/>
  <c r="B44" i="2"/>
  <c r="C44" i="2"/>
  <c r="B736" i="2"/>
  <c r="C701" i="2"/>
  <c r="C116" i="2"/>
  <c r="B116" i="2"/>
  <c r="B547" i="2"/>
  <c r="B381" i="2"/>
  <c r="B535" i="2"/>
  <c r="C517" i="2"/>
  <c r="C506" i="2"/>
  <c r="B492" i="2"/>
  <c r="C442" i="2"/>
  <c r="B425" i="2"/>
  <c r="C375" i="2"/>
  <c r="C415" i="2"/>
  <c r="B399" i="2"/>
  <c r="C280" i="2"/>
  <c r="B397" i="2"/>
  <c r="B392" i="2"/>
  <c r="C374" i="2"/>
  <c r="B257" i="2"/>
  <c r="C363" i="2"/>
  <c r="B331" i="2"/>
  <c r="C324" i="2"/>
  <c r="C305" i="2"/>
  <c r="B302" i="2"/>
  <c r="B297" i="2"/>
  <c r="C256" i="2"/>
  <c r="C251" i="2"/>
  <c r="C236" i="2"/>
  <c r="C149" i="2"/>
  <c r="B120" i="2"/>
  <c r="C109" i="2"/>
  <c r="B731" i="2"/>
  <c r="C172" i="2"/>
  <c r="C728" i="2"/>
  <c r="C48" i="2"/>
  <c r="B48" i="2"/>
  <c r="B75" i="2"/>
  <c r="C75" i="2"/>
  <c r="B595" i="2"/>
  <c r="B159" i="2"/>
  <c r="B580" i="2"/>
  <c r="B187" i="2"/>
  <c r="B558" i="2"/>
  <c r="C556" i="2"/>
  <c r="B538" i="2"/>
  <c r="B517" i="2"/>
  <c r="B511" i="2"/>
  <c r="C171" i="2"/>
  <c r="B503" i="2"/>
  <c r="B495" i="2"/>
  <c r="B484" i="2"/>
  <c r="C352" i="2"/>
  <c r="B481" i="2"/>
  <c r="B420" i="2"/>
  <c r="C418" i="2"/>
  <c r="B415" i="2"/>
  <c r="C59" i="2"/>
  <c r="B404" i="2"/>
  <c r="C52" i="2"/>
  <c r="B387" i="2"/>
  <c r="B133" i="2"/>
  <c r="B382" i="2"/>
  <c r="C339" i="2"/>
  <c r="B334" i="2"/>
  <c r="B310" i="2"/>
  <c r="C373" i="2"/>
  <c r="B305" i="2"/>
  <c r="C303" i="2"/>
  <c r="C261" i="2"/>
  <c r="C241" i="2"/>
  <c r="B180" i="2"/>
  <c r="B236" i="2"/>
  <c r="C198" i="2"/>
  <c r="C185" i="2"/>
  <c r="C173" i="2"/>
  <c r="C159" i="2"/>
  <c r="B134" i="2"/>
  <c r="B118" i="2"/>
  <c r="B3" i="2"/>
  <c r="C3" i="2"/>
  <c r="C73" i="2"/>
  <c r="B71" i="2"/>
  <c r="B847" i="2"/>
  <c r="B35" i="2"/>
  <c r="C35" i="2"/>
  <c r="C136" i="2"/>
  <c r="B136" i="2"/>
  <c r="B751" i="2"/>
  <c r="B97" i="2"/>
  <c r="C726" i="2"/>
  <c r="C696" i="2"/>
  <c r="C676" i="2"/>
  <c r="C654" i="2"/>
  <c r="C638" i="2"/>
  <c r="B607" i="2"/>
  <c r="C12" i="2"/>
  <c r="C590" i="2"/>
  <c r="B556" i="2"/>
  <c r="C554" i="2"/>
  <c r="B528" i="2"/>
  <c r="C482" i="2"/>
  <c r="C469" i="2"/>
  <c r="C458" i="2"/>
  <c r="B430" i="2"/>
  <c r="B428" i="2"/>
  <c r="C314" i="2"/>
  <c r="B423" i="2"/>
  <c r="C421" i="2"/>
  <c r="B407" i="2"/>
  <c r="C393" i="2"/>
  <c r="C377" i="2"/>
  <c r="C368" i="2"/>
  <c r="C359" i="2"/>
  <c r="B349" i="2"/>
  <c r="B139" i="2"/>
  <c r="B339" i="2"/>
  <c r="C332" i="2"/>
  <c r="B327" i="2"/>
  <c r="C320" i="2"/>
  <c r="B308" i="2"/>
  <c r="C259" i="2"/>
  <c r="B239" i="2"/>
  <c r="B232" i="2"/>
  <c r="C220" i="2"/>
  <c r="C208" i="2"/>
  <c r="B198" i="2"/>
  <c r="B183" i="2"/>
  <c r="B171" i="2"/>
  <c r="C145" i="2"/>
  <c r="C103" i="2"/>
  <c r="B64" i="2"/>
  <c r="C53" i="2"/>
  <c r="B80" i="2"/>
  <c r="C80" i="2"/>
  <c r="B897" i="2"/>
  <c r="B891" i="2"/>
  <c r="B723" i="2"/>
  <c r="B699" i="2"/>
  <c r="B690" i="2"/>
  <c r="B49" i="2"/>
  <c r="B687" i="2"/>
  <c r="B671" i="2"/>
  <c r="B654" i="2"/>
  <c r="B643" i="2"/>
  <c r="C613" i="2"/>
  <c r="B315" i="2"/>
  <c r="C576" i="2"/>
  <c r="B548" i="2"/>
  <c r="C521" i="2"/>
  <c r="B463" i="2"/>
  <c r="B440" i="2"/>
  <c r="B385" i="2"/>
  <c r="B65" i="2"/>
  <c r="C383" i="2"/>
  <c r="B375" i="2"/>
  <c r="B352" i="2"/>
  <c r="C347" i="2"/>
  <c r="B344" i="2"/>
  <c r="C96" i="2"/>
  <c r="C342" i="2"/>
  <c r="C315" i="2"/>
  <c r="B313" i="2"/>
  <c r="C308" i="2"/>
  <c r="C293" i="2"/>
  <c r="B275" i="2"/>
  <c r="B267" i="2"/>
  <c r="B244" i="2"/>
  <c r="C239" i="2"/>
  <c r="B237" i="2"/>
  <c r="B225" i="2"/>
  <c r="C201" i="2"/>
  <c r="C141" i="2"/>
  <c r="C101" i="2"/>
  <c r="C49" i="2"/>
  <c r="C816" i="2"/>
  <c r="B763" i="2"/>
  <c r="B743" i="2"/>
  <c r="B711" i="2"/>
  <c r="C669" i="2"/>
  <c r="C658" i="2"/>
  <c r="C597" i="2"/>
  <c r="C581" i="2"/>
  <c r="B576" i="2"/>
  <c r="B564" i="2"/>
  <c r="C562" i="2"/>
  <c r="B559" i="2"/>
  <c r="B546" i="2"/>
  <c r="C534" i="2"/>
  <c r="B531" i="2"/>
  <c r="C529" i="2"/>
  <c r="B526" i="2"/>
  <c r="B111" i="2"/>
  <c r="B515" i="2"/>
  <c r="B512" i="2"/>
  <c r="B504" i="2"/>
  <c r="C501" i="2"/>
  <c r="B107" i="2"/>
  <c r="C477" i="2"/>
  <c r="B472" i="2"/>
  <c r="B63" i="2"/>
  <c r="C63" i="2"/>
  <c r="B433" i="2"/>
  <c r="C431" i="2"/>
  <c r="B416" i="2"/>
  <c r="B398" i="2"/>
  <c r="C396" i="2"/>
  <c r="B388" i="2"/>
  <c r="B373" i="2"/>
  <c r="C350" i="2"/>
  <c r="B347" i="2"/>
  <c r="B342" i="2"/>
  <c r="B323" i="2"/>
  <c r="B318" i="2"/>
  <c r="C311" i="2"/>
  <c r="C268" i="2"/>
  <c r="C39" i="2"/>
  <c r="B39" i="2"/>
  <c r="B265" i="2"/>
  <c r="C257" i="2"/>
  <c r="C349" i="2"/>
  <c r="C225" i="2"/>
  <c r="C193" i="2"/>
  <c r="C163" i="2"/>
  <c r="C160" i="2"/>
  <c r="C139" i="2"/>
  <c r="C121" i="2"/>
  <c r="C23" i="2"/>
  <c r="B12" i="2"/>
  <c r="B910" i="2"/>
  <c r="C907" i="2"/>
  <c r="B284" i="2"/>
  <c r="B892" i="2"/>
  <c r="B796" i="2"/>
  <c r="B775" i="2"/>
  <c r="C43" i="2"/>
  <c r="B703" i="2"/>
  <c r="B658" i="2"/>
  <c r="C649" i="2"/>
  <c r="C636" i="2"/>
  <c r="B626" i="2"/>
  <c r="C620" i="2"/>
  <c r="B611" i="2"/>
  <c r="B608" i="2"/>
  <c r="B203" i="2"/>
  <c r="C203" i="2"/>
  <c r="C605" i="2"/>
  <c r="B597" i="2"/>
  <c r="B574" i="2"/>
  <c r="B567" i="2"/>
  <c r="B529" i="2"/>
  <c r="B219" i="2"/>
  <c r="C219" i="2"/>
  <c r="C502" i="2"/>
  <c r="B496" i="2"/>
  <c r="C494" i="2"/>
  <c r="B396" i="2"/>
  <c r="B100" i="2"/>
  <c r="C100" i="2"/>
  <c r="B394" i="2"/>
  <c r="B391" i="2"/>
  <c r="C381" i="2"/>
  <c r="B371" i="2"/>
  <c r="C340" i="2"/>
  <c r="C328" i="2"/>
  <c r="B321" i="2"/>
  <c r="C316" i="2"/>
  <c r="B311" i="2"/>
  <c r="B309" i="2"/>
  <c r="C291" i="2"/>
  <c r="C288" i="2"/>
  <c r="B276" i="2"/>
  <c r="B268" i="2"/>
  <c r="C265" i="2"/>
  <c r="B262" i="2"/>
  <c r="B260" i="2"/>
  <c r="C247" i="2"/>
  <c r="C228" i="2"/>
  <c r="B172" i="2"/>
  <c r="C137" i="2"/>
  <c r="C135" i="2"/>
  <c r="C341" i="2"/>
  <c r="C117" i="2"/>
  <c r="B115" i="2"/>
  <c r="C81" i="2"/>
  <c r="B21" i="2"/>
  <c r="C721" i="2"/>
  <c r="B697" i="2"/>
  <c r="B27" i="2"/>
  <c r="B667" i="2"/>
  <c r="C325" i="2"/>
  <c r="B655" i="2"/>
  <c r="B636" i="2"/>
  <c r="B591" i="2"/>
  <c r="B579" i="2"/>
  <c r="B549" i="2"/>
  <c r="C516" i="2"/>
  <c r="B502" i="2"/>
  <c r="B499" i="2"/>
  <c r="C91" i="2"/>
  <c r="B91" i="2"/>
  <c r="C486" i="2"/>
  <c r="B483" i="2"/>
  <c r="C216" i="2"/>
  <c r="B467" i="2"/>
  <c r="B446" i="2"/>
  <c r="B434" i="2"/>
  <c r="B403" i="2"/>
  <c r="B19" i="2"/>
  <c r="C19" i="2"/>
  <c r="B369" i="2"/>
  <c r="B360" i="2"/>
  <c r="B72" i="2"/>
  <c r="C72" i="2"/>
  <c r="B355" i="2"/>
  <c r="B51" i="2"/>
  <c r="C51" i="2"/>
  <c r="C348" i="2"/>
  <c r="C321" i="2"/>
  <c r="B316" i="2"/>
  <c r="B288" i="2"/>
  <c r="C255" i="2"/>
  <c r="B144" i="2"/>
  <c r="C65" i="2"/>
  <c r="B52" i="2"/>
  <c r="B33" i="2"/>
  <c r="C133" i="2"/>
  <c r="B60" i="2"/>
  <c r="C57" i="2"/>
  <c r="C45" i="2"/>
  <c r="C16" i="2"/>
  <c r="B451" i="2"/>
  <c r="B431" i="2"/>
  <c r="B424" i="2"/>
  <c r="B419" i="2"/>
  <c r="B368" i="2"/>
  <c r="B366" i="2"/>
  <c r="B359" i="2"/>
  <c r="C333" i="2"/>
  <c r="B320" i="2"/>
  <c r="B312" i="2"/>
  <c r="C301" i="2"/>
  <c r="B287" i="2"/>
  <c r="B282" i="2"/>
  <c r="C269" i="2"/>
  <c r="C263" i="2"/>
  <c r="C249" i="2"/>
  <c r="B246" i="2"/>
  <c r="B243" i="2"/>
  <c r="C235" i="2"/>
  <c r="C227" i="2"/>
  <c r="C197" i="2"/>
  <c r="C191" i="2"/>
  <c r="C183" i="2"/>
  <c r="C153" i="2"/>
  <c r="B150" i="2"/>
  <c r="C125" i="2"/>
  <c r="C119" i="2"/>
  <c r="C97" i="2"/>
  <c r="C69" i="2"/>
  <c r="B54" i="2"/>
  <c r="C31" i="2"/>
  <c r="C25" i="2"/>
  <c r="C13" i="2"/>
  <c r="C285" i="2"/>
  <c r="B280" i="2"/>
  <c r="B235" i="2"/>
  <c r="C181" i="2"/>
  <c r="C175" i="2"/>
  <c r="C167" i="2"/>
  <c r="C89" i="2"/>
  <c r="B86" i="2"/>
  <c r="C37" i="2"/>
  <c r="B22" i="2"/>
  <c r="B10" i="2"/>
  <c r="B8" i="2"/>
  <c r="B6" i="2"/>
  <c r="C29" i="2"/>
  <c r="C17" i="2"/>
  <c r="C152" i="2"/>
  <c r="C129" i="2"/>
  <c r="C87" i="2"/>
  <c r="B56" i="2"/>
  <c r="C41" i="2"/>
  <c r="B14" i="2"/>
  <c r="B383" i="2"/>
  <c r="B380" i="2"/>
  <c r="B372" i="2"/>
  <c r="B363" i="2"/>
  <c r="B356" i="2"/>
  <c r="B351" i="2"/>
  <c r="B348" i="2"/>
  <c r="B345" i="2"/>
  <c r="B335" i="2"/>
  <c r="B295" i="2"/>
  <c r="C276" i="2"/>
  <c r="C237" i="2"/>
  <c r="C229" i="2"/>
  <c r="C221" i="2"/>
  <c r="C213" i="2"/>
  <c r="C205" i="2"/>
  <c r="C199" i="2"/>
  <c r="C177" i="2"/>
  <c r="B113" i="2"/>
  <c r="B99" i="2"/>
  <c r="C85" i="2"/>
  <c r="C77" i="2"/>
  <c r="C71" i="2"/>
  <c r="C33" i="2"/>
  <c r="C21" i="2"/>
  <c r="B7" i="2"/>
  <c r="B841" i="2"/>
  <c r="C841" i="2"/>
  <c r="B809" i="2"/>
  <c r="C809" i="2"/>
  <c r="B405" i="2"/>
  <c r="C405" i="2"/>
  <c r="B274" i="2"/>
  <c r="C274" i="2"/>
  <c r="B218" i="2"/>
  <c r="C218" i="2"/>
  <c r="B210" i="2"/>
  <c r="C210" i="2"/>
  <c r="B202" i="2"/>
  <c r="C202" i="2"/>
  <c r="B873" i="2"/>
  <c r="C873" i="2"/>
  <c r="B825" i="2"/>
  <c r="C825" i="2"/>
  <c r="B749" i="2"/>
  <c r="C749" i="2"/>
  <c r="B563" i="2"/>
  <c r="C563" i="2"/>
  <c r="B462" i="2"/>
  <c r="C462" i="2"/>
  <c r="B724" i="2"/>
  <c r="C724" i="2"/>
  <c r="B571" i="2"/>
  <c r="C571" i="2"/>
  <c r="B471" i="2"/>
  <c r="C471" i="2"/>
  <c r="B395" i="2"/>
  <c r="C395" i="2"/>
  <c r="B138" i="2"/>
  <c r="C138" i="2"/>
  <c r="B793" i="2"/>
  <c r="C793" i="2"/>
  <c r="C143" i="2"/>
  <c r="B143" i="2"/>
  <c r="B691" i="2"/>
  <c r="C691" i="2"/>
  <c r="C662" i="2"/>
  <c r="B662" i="2"/>
  <c r="B584" i="2"/>
  <c r="C584" i="2"/>
  <c r="B566" i="2"/>
  <c r="C566" i="2"/>
  <c r="B364" i="2"/>
  <c r="C364" i="2"/>
  <c r="B357" i="2"/>
  <c r="C357" i="2"/>
  <c r="B330" i="2"/>
  <c r="C330" i="2"/>
  <c r="B166" i="2"/>
  <c r="C166" i="2"/>
  <c r="C79" i="2"/>
  <c r="B79" i="2"/>
  <c r="B861" i="2"/>
  <c r="C861" i="2"/>
  <c r="B797" i="2"/>
  <c r="C797" i="2"/>
  <c r="B781" i="2"/>
  <c r="C781" i="2"/>
  <c r="B707" i="2"/>
  <c r="C707" i="2"/>
  <c r="B683" i="2"/>
  <c r="C683" i="2"/>
  <c r="B639" i="2"/>
  <c r="C639" i="2"/>
  <c r="B474" i="2"/>
  <c r="C474" i="2"/>
  <c r="B417" i="2"/>
  <c r="C417" i="2"/>
  <c r="B362" i="2"/>
  <c r="C362" i="2"/>
  <c r="B338" i="2"/>
  <c r="C338" i="2"/>
  <c r="B322" i="2"/>
  <c r="C322" i="2"/>
  <c r="B238" i="2"/>
  <c r="C238" i="2"/>
  <c r="B230" i="2"/>
  <c r="C230" i="2"/>
  <c r="C169" i="2"/>
  <c r="B169" i="2"/>
  <c r="B158" i="2"/>
  <c r="C158" i="2"/>
  <c r="B102" i="2"/>
  <c r="C102" i="2"/>
  <c r="B82" i="2"/>
  <c r="C82" i="2"/>
  <c r="B74" i="2"/>
  <c r="C74" i="2"/>
  <c r="B30" i="2"/>
  <c r="C30" i="2"/>
  <c r="B18" i="2"/>
  <c r="C18" i="2"/>
  <c r="B710" i="2"/>
  <c r="C710" i="2"/>
  <c r="B642" i="2"/>
  <c r="C642" i="2"/>
  <c r="B600" i="2"/>
  <c r="C600" i="2"/>
  <c r="B569" i="2"/>
  <c r="C569" i="2"/>
  <c r="B523" i="2"/>
  <c r="C523" i="2"/>
  <c r="B444" i="2"/>
  <c r="C444" i="2"/>
  <c r="B429" i="2"/>
  <c r="C429" i="2"/>
  <c r="B214" i="2"/>
  <c r="C214" i="2"/>
  <c r="B206" i="2"/>
  <c r="C206" i="2"/>
  <c r="B186" i="2"/>
  <c r="C186" i="2"/>
  <c r="C105" i="2"/>
  <c r="B105" i="2"/>
  <c r="B94" i="2"/>
  <c r="C94" i="2"/>
  <c r="B42" i="2"/>
  <c r="C42" i="2"/>
  <c r="B849" i="2"/>
  <c r="C849" i="2"/>
  <c r="B833" i="2"/>
  <c r="C833" i="2"/>
  <c r="B817" i="2"/>
  <c r="C817" i="2"/>
  <c r="B785" i="2"/>
  <c r="C785" i="2"/>
  <c r="B491" i="2"/>
  <c r="C491" i="2"/>
  <c r="B447" i="2"/>
  <c r="C447" i="2"/>
  <c r="B427" i="2"/>
  <c r="C427" i="2"/>
  <c r="C370" i="2"/>
  <c r="B370" i="2"/>
  <c r="C217" i="2"/>
  <c r="B217" i="2"/>
  <c r="B142" i="2"/>
  <c r="C142" i="2"/>
  <c r="B122" i="2"/>
  <c r="C122" i="2"/>
  <c r="B66" i="2"/>
  <c r="C66" i="2"/>
  <c r="B651" i="2"/>
  <c r="C651" i="2"/>
  <c r="B645" i="2"/>
  <c r="C645" i="2"/>
  <c r="B572" i="2"/>
  <c r="C572" i="2"/>
  <c r="B34" i="2"/>
  <c r="C34" i="2"/>
  <c r="C960" i="2"/>
  <c r="C942" i="2"/>
  <c r="C935" i="2"/>
  <c r="C928" i="2"/>
  <c r="C910" i="2"/>
  <c r="C866" i="2"/>
  <c r="C863" i="2"/>
  <c r="B821" i="2"/>
  <c r="C821" i="2"/>
  <c r="C818" i="2"/>
  <c r="C815" i="2"/>
  <c r="C786" i="2"/>
  <c r="C783" i="2"/>
  <c r="B767" i="2"/>
  <c r="C767" i="2"/>
  <c r="C764" i="2"/>
  <c r="C736" i="2"/>
  <c r="C733" i="2"/>
  <c r="B684" i="2"/>
  <c r="C684" i="2"/>
  <c r="C682" i="2"/>
  <c r="C673" i="2"/>
  <c r="C670" i="2"/>
  <c r="B575" i="2"/>
  <c r="C575" i="2"/>
  <c r="B555" i="2"/>
  <c r="C555" i="2"/>
  <c r="C549" i="2"/>
  <c r="C546" i="2"/>
  <c r="C538" i="2"/>
  <c r="B475" i="2"/>
  <c r="C475" i="2"/>
  <c r="B435" i="2"/>
  <c r="C435" i="2"/>
  <c r="C425" i="2"/>
  <c r="C422" i="2"/>
  <c r="B402" i="2"/>
  <c r="C402" i="2"/>
  <c r="C397" i="2"/>
  <c r="C366" i="2"/>
  <c r="B361" i="2"/>
  <c r="C361" i="2"/>
  <c r="B337" i="2"/>
  <c r="C337" i="2"/>
  <c r="B290" i="2"/>
  <c r="C290" i="2"/>
  <c r="B242" i="2"/>
  <c r="C242" i="2"/>
  <c r="B223" i="2"/>
  <c r="B162" i="2"/>
  <c r="C162" i="2"/>
  <c r="B857" i="2"/>
  <c r="C857" i="2"/>
  <c r="B530" i="2"/>
  <c r="C530" i="2"/>
  <c r="B38" i="2"/>
  <c r="C38" i="2"/>
  <c r="B623" i="2"/>
  <c r="C623" i="2"/>
  <c r="B441" i="2"/>
  <c r="C441" i="2"/>
  <c r="B266" i="2"/>
  <c r="C266" i="2"/>
  <c r="B146" i="2"/>
  <c r="C146" i="2"/>
  <c r="B62" i="2"/>
  <c r="C62" i="2"/>
  <c r="B50" i="2"/>
  <c r="C50" i="2"/>
  <c r="B9" i="2"/>
  <c r="C9" i="2"/>
  <c r="B877" i="2"/>
  <c r="C877" i="2"/>
  <c r="B845" i="2"/>
  <c r="C845" i="2"/>
  <c r="B829" i="2"/>
  <c r="C829" i="2"/>
  <c r="B813" i="2"/>
  <c r="C813" i="2"/>
  <c r="B665" i="2"/>
  <c r="C665" i="2"/>
  <c r="B594" i="2"/>
  <c r="C594" i="2"/>
  <c r="B533" i="2"/>
  <c r="C533" i="2"/>
  <c r="B756" i="2"/>
  <c r="C756" i="2"/>
  <c r="B881" i="2"/>
  <c r="C881" i="2"/>
  <c r="B865" i="2"/>
  <c r="C865" i="2"/>
  <c r="B801" i="2"/>
  <c r="C801" i="2"/>
  <c r="B735" i="2"/>
  <c r="C735" i="2"/>
  <c r="B681" i="2"/>
  <c r="C681" i="2"/>
  <c r="B545" i="2"/>
  <c r="C545" i="2"/>
  <c r="B742" i="2"/>
  <c r="C742" i="2"/>
  <c r="B557" i="2"/>
  <c r="C557" i="2"/>
  <c r="B432" i="2"/>
  <c r="C432" i="2"/>
  <c r="B379" i="2"/>
  <c r="C379" i="2"/>
  <c r="B329" i="2"/>
  <c r="C329" i="2"/>
  <c r="B304" i="2"/>
  <c r="C304" i="2"/>
  <c r="B178" i="2"/>
  <c r="C178" i="2"/>
  <c r="B78" i="2"/>
  <c r="C78" i="2"/>
  <c r="C999" i="2"/>
  <c r="C992" i="2"/>
  <c r="C974" i="2"/>
  <c r="C967" i="2"/>
  <c r="C903" i="2"/>
  <c r="C896" i="2"/>
  <c r="B885" i="2"/>
  <c r="C885" i="2"/>
  <c r="C882" i="2"/>
  <c r="C879" i="2"/>
  <c r="B869" i="2"/>
  <c r="C869" i="2"/>
  <c r="B853" i="2"/>
  <c r="C853" i="2"/>
  <c r="C850" i="2"/>
  <c r="C847" i="2"/>
  <c r="B837" i="2"/>
  <c r="C837" i="2"/>
  <c r="C834" i="2"/>
  <c r="C831" i="2"/>
  <c r="B805" i="2"/>
  <c r="C805" i="2"/>
  <c r="C802" i="2"/>
  <c r="C799" i="2"/>
  <c r="B789" i="2"/>
  <c r="C789" i="2"/>
  <c r="B717" i="2"/>
  <c r="C717" i="2"/>
  <c r="C985" i="2"/>
  <c r="C953" i="2"/>
  <c r="C921" i="2"/>
  <c r="C889" i="2"/>
  <c r="B774" i="2"/>
  <c r="C774" i="2"/>
  <c r="C771" i="2"/>
  <c r="C755" i="2"/>
  <c r="B746" i="2"/>
  <c r="C667" i="2"/>
  <c r="B649" i="2"/>
  <c r="B616" i="2"/>
  <c r="C616" i="2"/>
  <c r="C599" i="2"/>
  <c r="B578" i="2"/>
  <c r="C568" i="2"/>
  <c r="B560" i="2"/>
  <c r="C560" i="2"/>
  <c r="C535" i="2"/>
  <c r="B522" i="2"/>
  <c r="C519" i="2"/>
  <c r="C510" i="2"/>
  <c r="B507" i="2"/>
  <c r="C507" i="2"/>
  <c r="C504" i="2"/>
  <c r="C495" i="2"/>
  <c r="C492" i="2"/>
  <c r="C478" i="2"/>
  <c r="B456" i="2"/>
  <c r="C456" i="2"/>
  <c r="C448" i="2"/>
  <c r="B443" i="2"/>
  <c r="C443" i="2"/>
  <c r="B438" i="2"/>
  <c r="C438" i="2"/>
  <c r="C428" i="2"/>
  <c r="C419" i="2"/>
  <c r="C400" i="2"/>
  <c r="C371" i="2"/>
  <c r="B354" i="2"/>
  <c r="C354" i="2"/>
  <c r="C343" i="2"/>
  <c r="C335" i="2"/>
  <c r="C327" i="2"/>
  <c r="B324" i="2"/>
  <c r="C313" i="2"/>
  <c r="B299" i="2"/>
  <c r="B285" i="2"/>
  <c r="C282" i="2"/>
  <c r="B271" i="2"/>
  <c r="B254" i="2"/>
  <c r="C254" i="2"/>
  <c r="B234" i="2"/>
  <c r="C234" i="2"/>
  <c r="B226" i="2"/>
  <c r="C226" i="2"/>
  <c r="C207" i="2"/>
  <c r="B207" i="2"/>
  <c r="B185" i="2"/>
  <c r="C182" i="2"/>
  <c r="B619" i="2"/>
  <c r="C619" i="2"/>
  <c r="B539" i="2"/>
  <c r="C539" i="2"/>
  <c r="B411" i="2"/>
  <c r="C411" i="2"/>
  <c r="B367" i="2"/>
  <c r="C367" i="2"/>
  <c r="C233" i="2"/>
  <c r="B233" i="2"/>
  <c r="B222" i="2"/>
  <c r="C222" i="2"/>
  <c r="B174" i="2"/>
  <c r="C174" i="2"/>
  <c r="B154" i="2"/>
  <c r="C154" i="2"/>
  <c r="B114" i="2"/>
  <c r="C114" i="2"/>
  <c r="B58" i="2"/>
  <c r="C58" i="2"/>
  <c r="B46" i="2"/>
  <c r="C46" i="2"/>
  <c r="B587" i="2"/>
  <c r="C587" i="2"/>
  <c r="B459" i="2"/>
  <c r="C459" i="2"/>
  <c r="B306" i="2"/>
  <c r="C306" i="2"/>
  <c r="B281" i="2"/>
  <c r="C281" i="2"/>
  <c r="B270" i="2"/>
  <c r="C270" i="2"/>
  <c r="B250" i="2"/>
  <c r="C250" i="2"/>
  <c r="B194" i="2"/>
  <c r="C194" i="2"/>
  <c r="B126" i="2"/>
  <c r="C126" i="2"/>
  <c r="B106" i="2"/>
  <c r="C106" i="2"/>
  <c r="B98" i="2"/>
  <c r="C98" i="2"/>
  <c r="B110" i="2"/>
  <c r="C110" i="2"/>
  <c r="B90" i="2"/>
  <c r="C90" i="2"/>
  <c r="B298" i="2"/>
  <c r="C298" i="2"/>
  <c r="B258" i="2"/>
  <c r="C258" i="2"/>
  <c r="B190" i="2"/>
  <c r="C190" i="2"/>
  <c r="B170" i="2"/>
  <c r="C170" i="2"/>
  <c r="B130" i="2"/>
  <c r="C130" i="2"/>
  <c r="B26" i="2"/>
  <c r="C26" i="2"/>
  <c r="B13" i="2"/>
  <c r="C6" i="2"/>
  <c r="C7" i="2"/>
  <c r="E3" i="4" l="1"/>
  <c r="B3" i="5" s="1"/>
  <c r="B2" i="5" l="1"/>
  <c r="F3" i="4"/>
  <c r="B4" i="5"/>
  <c r="B5" i="5"/>
</calcChain>
</file>

<file path=xl/sharedStrings.xml><?xml version="1.0" encoding="utf-8"?>
<sst xmlns="http://schemas.openxmlformats.org/spreadsheetml/2006/main" count="1031" uniqueCount="39">
  <si>
    <t>customer_id</t>
  </si>
  <si>
    <t>product</t>
  </si>
  <si>
    <t>sales_amount</t>
  </si>
  <si>
    <t>sale_date</t>
  </si>
  <si>
    <t>g</t>
  </si>
  <si>
    <t>b</t>
  </si>
  <si>
    <t>i</t>
  </si>
  <si>
    <t>e</t>
  </si>
  <si>
    <t>a</t>
  </si>
  <si>
    <t>j</t>
  </si>
  <si>
    <t>h</t>
  </si>
  <si>
    <t>f</t>
  </si>
  <si>
    <t>d</t>
  </si>
  <si>
    <t>c</t>
  </si>
  <si>
    <t>Year</t>
  </si>
  <si>
    <t>Month</t>
  </si>
  <si>
    <t>Customer_ID</t>
  </si>
  <si>
    <t>Product</t>
  </si>
  <si>
    <t>Sales_Amount</t>
  </si>
  <si>
    <t>Sales_Date</t>
  </si>
  <si>
    <t>Total Sales</t>
  </si>
  <si>
    <t>Monthly Sales</t>
  </si>
  <si>
    <t>Avg Sales per Transaction</t>
  </si>
  <si>
    <t>Product Sales (Per Product)</t>
  </si>
  <si>
    <t>KPI</t>
  </si>
  <si>
    <t>Target_Value</t>
  </si>
  <si>
    <t>Actual</t>
  </si>
  <si>
    <t>Target</t>
  </si>
  <si>
    <t>Variance</t>
  </si>
  <si>
    <t>Variance_%</t>
  </si>
  <si>
    <t>Status</t>
  </si>
  <si>
    <t>Avg Sale per Transaction</t>
  </si>
  <si>
    <t>Average Monthly Sales</t>
  </si>
  <si>
    <t>INSIGHT</t>
  </si>
  <si>
    <t>OBSERVATION</t>
  </si>
  <si>
    <t>Worst Performing KPI</t>
  </si>
  <si>
    <t>Best Performing KPI</t>
  </si>
  <si>
    <t>High Risk Area</t>
  </si>
  <si>
    <t>Immediate Action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</si>
</sst>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4" fillId="3" borderId="0" xfId="4"/>
    <xf numFmtId="0" fontId="3" fillId="2" borderId="0" xfId="3"/>
    <xf numFmtId="0" fontId="2" fillId="0" borderId="2" xfId="2"/>
    <xf numFmtId="14" fontId="2" fillId="0" borderId="2" xfId="2" applyNumberFormat="1"/>
    <xf numFmtId="0" fontId="1" fillId="0" borderId="1" xfId="1"/>
    <xf numFmtId="0" fontId="2" fillId="0" borderId="0" xfId="2" applyBorder="1"/>
  </cellXfs>
  <cellStyles count="5">
    <cellStyle name="Bad" xfId="4" builtinId="27"/>
    <cellStyle name="Good" xfId="3" builtinId="26"/>
    <cellStyle name="Heading 1" xfId="1" builtinId="16"/>
    <cellStyle name="Heading 2" xfId="2" builtinId="17"/>
    <cellStyle name="Normal" xfId="0" builtinId="0"/>
  </cellStyles>
  <dxfs count="2">
    <dxf>
      <border outline="0">
        <bottom style="thick">
          <color theme="4"/>
        </bottom>
      </border>
    </dxf>
    <dxf>
      <border outline="0">
        <bottom style="thick">
          <color theme="4" tint="0.49998474074526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Cleaned_Data!$F$1:$F$20</c:f>
              <c:numCache>
                <c:formatCode>General</c:formatCode>
                <c:ptCount val="20"/>
                <c:pt idx="0">
                  <c:v>0</c:v>
                </c:pt>
                <c:pt idx="1">
                  <c:v>449.16759339999999</c:v>
                </c:pt>
                <c:pt idx="2">
                  <c:v>533.14015159999997</c:v>
                </c:pt>
                <c:pt idx="3">
                  <c:v>557.43777320000004</c:v>
                </c:pt>
                <c:pt idx="4">
                  <c:v>553.33143310000003</c:v>
                </c:pt>
                <c:pt idx="5">
                  <c:v>524.83759220000002</c:v>
                </c:pt>
                <c:pt idx="6">
                  <c:v>428.19912090000003</c:v>
                </c:pt>
                <c:pt idx="7">
                  <c:v>367.29077230000001</c:v>
                </c:pt>
                <c:pt idx="8">
                  <c:v>659.5332737</c:v>
                </c:pt>
                <c:pt idx="9">
                  <c:v>543.27879270000005</c:v>
                </c:pt>
                <c:pt idx="10">
                  <c:v>391.05008709999998</c:v>
                </c:pt>
                <c:pt idx="11">
                  <c:v>368.20144640000001</c:v>
                </c:pt>
                <c:pt idx="12">
                  <c:v>465.84051540000002</c:v>
                </c:pt>
                <c:pt idx="13">
                  <c:v>470.24447359999999</c:v>
                </c:pt>
                <c:pt idx="14">
                  <c:v>508.8512642</c:v>
                </c:pt>
                <c:pt idx="15">
                  <c:v>609.06446100000005</c:v>
                </c:pt>
                <c:pt idx="16">
                  <c:v>347.35469289999997</c:v>
                </c:pt>
                <c:pt idx="17">
                  <c:v>651.92899199999999</c:v>
                </c:pt>
                <c:pt idx="18">
                  <c:v>545.20854199999997</c:v>
                </c:pt>
                <c:pt idx="19">
                  <c:v>492.07605589999997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4-4530-9D67-DC52680CE24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Cleaned_Data!$C$2:$C$20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E4-4530-9D67-DC52680CE24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Cleaned_Data!$C$1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E4-4530-9D67-DC52680CE24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211344"/>
        <c:axId val="1023211824"/>
      </c:lineChart>
      <c:catAx>
        <c:axId val="1023211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211824"/>
        <c:crosses val="autoZero"/>
        <c:auto val="1"/>
        <c:lblAlgn val="ctr"/>
        <c:lblOffset val="100"/>
        <c:noMultiLvlLbl val="0"/>
      </c:catAx>
      <c:valAx>
        <c:axId val="10232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211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PRODUCT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Cleaned_Data!$F$1</c:f>
              <c:strCache>
                <c:ptCount val="1"/>
                <c:pt idx="0">
                  <c:v>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Cleaned_Data!$E$2:$E$20</c:f>
              <c:strCache>
                <c:ptCount val="19"/>
                <c:pt idx="0">
                  <c:v>g</c:v>
                </c:pt>
                <c:pt idx="1">
                  <c:v>b</c:v>
                </c:pt>
                <c:pt idx="2">
                  <c:v>i</c:v>
                </c:pt>
                <c:pt idx="3">
                  <c:v>e</c:v>
                </c:pt>
                <c:pt idx="4">
                  <c:v>a</c:v>
                </c:pt>
                <c:pt idx="5">
                  <c:v>j</c:v>
                </c:pt>
                <c:pt idx="6">
                  <c:v>i</c:v>
                </c:pt>
                <c:pt idx="7">
                  <c:v>i</c:v>
                </c:pt>
                <c:pt idx="8">
                  <c:v>g</c:v>
                </c:pt>
                <c:pt idx="9">
                  <c:v>b</c:v>
                </c:pt>
                <c:pt idx="10">
                  <c:v>h</c:v>
                </c:pt>
                <c:pt idx="11">
                  <c:v>g</c:v>
                </c:pt>
                <c:pt idx="12">
                  <c:v>f</c:v>
                </c:pt>
                <c:pt idx="13">
                  <c:v>g</c:v>
                </c:pt>
                <c:pt idx="14">
                  <c:v>j</c:v>
                </c:pt>
                <c:pt idx="15">
                  <c:v>b</c:v>
                </c:pt>
                <c:pt idx="16">
                  <c:v>b</c:v>
                </c:pt>
                <c:pt idx="17">
                  <c:v>e</c:v>
                </c:pt>
                <c:pt idx="18">
                  <c:v>g</c:v>
                </c:pt>
              </c:strCache>
            </c:strRef>
          </c:cat>
          <c:val>
            <c:numRef>
              <c:f>Cleaned_Data!$F$2:$F$20</c:f>
              <c:numCache>
                <c:formatCode>General</c:formatCode>
                <c:ptCount val="19"/>
                <c:pt idx="0">
                  <c:v>449.16759339999999</c:v>
                </c:pt>
                <c:pt idx="1">
                  <c:v>533.14015159999997</c:v>
                </c:pt>
                <c:pt idx="2">
                  <c:v>557.43777320000004</c:v>
                </c:pt>
                <c:pt idx="3">
                  <c:v>553.33143310000003</c:v>
                </c:pt>
                <c:pt idx="4">
                  <c:v>524.83759220000002</c:v>
                </c:pt>
                <c:pt idx="5">
                  <c:v>428.19912090000003</c:v>
                </c:pt>
                <c:pt idx="6">
                  <c:v>367.29077230000001</c:v>
                </c:pt>
                <c:pt idx="7">
                  <c:v>659.5332737</c:v>
                </c:pt>
                <c:pt idx="8">
                  <c:v>543.27879270000005</c:v>
                </c:pt>
                <c:pt idx="9">
                  <c:v>391.05008709999998</c:v>
                </c:pt>
                <c:pt idx="10">
                  <c:v>368.20144640000001</c:v>
                </c:pt>
                <c:pt idx="11">
                  <c:v>465.84051540000002</c:v>
                </c:pt>
                <c:pt idx="12">
                  <c:v>470.24447359999999</c:v>
                </c:pt>
                <c:pt idx="13">
                  <c:v>508.8512642</c:v>
                </c:pt>
                <c:pt idx="14">
                  <c:v>609.06446100000005</c:v>
                </c:pt>
                <c:pt idx="15">
                  <c:v>347.35469289999997</c:v>
                </c:pt>
                <c:pt idx="16">
                  <c:v>651.92899199999999</c:v>
                </c:pt>
                <c:pt idx="17">
                  <c:v>545.20854199999997</c:v>
                </c:pt>
                <c:pt idx="18">
                  <c:v>492.07605589999997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E-49B6-84DC-9554B1063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9902480"/>
        <c:axId val="919903920"/>
      </c:barChart>
      <c:catAx>
        <c:axId val="91990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03920"/>
        <c:crosses val="autoZero"/>
        <c:auto val="1"/>
        <c:lblAlgn val="ctr"/>
        <c:lblOffset val="100"/>
        <c:noMultiLvlLbl val="0"/>
      </c:catAx>
      <c:valAx>
        <c:axId val="91990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02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-1</xdr:colOff>
      <xdr:row>0</xdr:row>
      <xdr:rowOff>0</xdr:rowOff>
    </xdr:from>
    <xdr:to>
      <xdr:col>19</xdr:col>
      <xdr:colOff>-1</xdr:colOff>
      <xdr:row>26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DD1969-84DF-B991-7BD1-EC15D3343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5952</xdr:colOff>
      <xdr:row>26</xdr:row>
      <xdr:rowOff>0</xdr:rowOff>
    </xdr:from>
    <xdr:to>
      <xdr:col>19</xdr:col>
      <xdr:colOff>607217</xdr:colOff>
      <xdr:row>48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0CEA2F-18F6-8A02-5651-7164639F2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9616F9-382F-4770-9BAC-5E16FDDB4A88}" name="Table2" displayName="Table2" ref="A1:F1048576" totalsRowShown="0" headerRowBorderDxfId="0" tableBorderDxfId="1" headerRowCellStyle="Heading 1" dataCellStyle="Heading 2">
  <autoFilter ref="A1:F1048576" xr:uid="{0B9616F9-382F-4770-9BAC-5E16FDDB4A88}"/>
  <tableColumns count="6">
    <tableColumn id="1" xr3:uid="{8E47D904-D8EF-4FF8-A538-8D328D4A617C}" name="Sales_Date" dataCellStyle="Heading 2"/>
    <tableColumn id="2" xr3:uid="{8D177A76-2601-4BEE-89DB-42CE85BDCB9C}" name="Year" dataCellStyle="Heading 2"/>
    <tableColumn id="3" xr3:uid="{579DFAEB-6D20-4FF7-ABD3-CFF744F58832}" name="Month" dataCellStyle="Heading 2"/>
    <tableColumn id="4" xr3:uid="{0F32843D-97E0-4920-B4A3-A37C3C96FE00}" name="Customer_ID" dataCellStyle="Heading 2"/>
    <tableColumn id="5" xr3:uid="{C5699B09-B7CF-4CF8-B785-1990CAC775D2}" name="Product" dataCellStyle="Heading 2"/>
    <tableColumn id="6" xr3:uid="{595F48B9-6925-492D-8A36-DCD6D873D6AF}" name="Sales_Amount" dataCellStyle="Heading 2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C25837-E158-4312-8347-22B168117DC8}" name="Table3" displayName="Table3" ref="A1:B5" totalsRowShown="0">
  <autoFilter ref="A1:B5" xr:uid="{54C25837-E158-4312-8347-22B168117DC8}"/>
  <tableColumns count="2">
    <tableColumn id="1" xr3:uid="{9303AA8A-B452-46CD-B8B3-62BDC38E708B}" name="INSIGHT"/>
    <tableColumn id="2" xr3:uid="{3A750ED4-044F-41B3-982F-531A576FA328}" name="OBSERV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workbookViewId="0">
      <selection activeCell="F35" sqref="F35"/>
    </sheetView>
  </sheetViews>
  <sheetFormatPr defaultRowHeight="15" x14ac:dyDescent="0.25"/>
  <cols>
    <col min="1" max="1" width="12" bestFit="1" customWidth="1"/>
    <col min="2" max="2" width="7.85546875" bestFit="1" customWidth="1"/>
    <col min="3" max="3" width="13.42578125" bestFit="1" customWidth="1"/>
    <col min="4" max="4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31</v>
      </c>
      <c r="B2" t="s">
        <v>4</v>
      </c>
      <c r="C2">
        <v>449.16759339999999</v>
      </c>
      <c r="D2" s="1">
        <v>44721</v>
      </c>
    </row>
    <row r="3" spans="1:4" x14ac:dyDescent="0.25">
      <c r="A3">
        <v>79</v>
      </c>
      <c r="B3" t="s">
        <v>5</v>
      </c>
      <c r="C3">
        <v>533.14015159999997</v>
      </c>
      <c r="D3" s="1">
        <v>44898</v>
      </c>
    </row>
    <row r="4" spans="1:4" x14ac:dyDescent="0.25">
      <c r="A4">
        <v>51</v>
      </c>
      <c r="B4" t="s">
        <v>6</v>
      </c>
      <c r="C4">
        <v>557.43777320000004</v>
      </c>
      <c r="D4" s="1">
        <v>44800</v>
      </c>
    </row>
    <row r="5" spans="1:4" x14ac:dyDescent="0.25">
      <c r="A5">
        <v>14</v>
      </c>
      <c r="B5" t="s">
        <v>7</v>
      </c>
      <c r="C5">
        <v>553.33143310000003</v>
      </c>
      <c r="D5" s="1">
        <v>44774</v>
      </c>
    </row>
    <row r="6" spans="1:4" x14ac:dyDescent="0.25">
      <c r="A6">
        <v>67</v>
      </c>
      <c r="B6" t="s">
        <v>8</v>
      </c>
      <c r="C6">
        <v>524.83759220000002</v>
      </c>
      <c r="D6" s="1">
        <v>44840</v>
      </c>
    </row>
    <row r="7" spans="1:4" x14ac:dyDescent="0.25">
      <c r="A7">
        <v>42</v>
      </c>
      <c r="B7" t="s">
        <v>9</v>
      </c>
      <c r="C7">
        <v>428.19912090000003</v>
      </c>
      <c r="D7" s="1">
        <v>44925</v>
      </c>
    </row>
    <row r="8" spans="1:4" x14ac:dyDescent="0.25">
      <c r="A8">
        <v>50</v>
      </c>
      <c r="B8" t="s">
        <v>6</v>
      </c>
      <c r="C8">
        <v>367.29077230000001</v>
      </c>
      <c r="D8" s="1">
        <v>44622</v>
      </c>
    </row>
    <row r="9" spans="1:4" x14ac:dyDescent="0.25">
      <c r="A9">
        <v>43</v>
      </c>
      <c r="B9" t="s">
        <v>6</v>
      </c>
      <c r="C9">
        <v>659.5332737</v>
      </c>
      <c r="D9" s="1">
        <v>44883</v>
      </c>
    </row>
    <row r="10" spans="1:4" x14ac:dyDescent="0.25">
      <c r="A10">
        <v>14</v>
      </c>
      <c r="B10" t="s">
        <v>4</v>
      </c>
      <c r="C10">
        <v>543.27879270000005</v>
      </c>
      <c r="D10" s="1">
        <v>44813</v>
      </c>
    </row>
    <row r="11" spans="1:4" x14ac:dyDescent="0.25">
      <c r="A11">
        <v>25</v>
      </c>
      <c r="B11" t="s">
        <v>5</v>
      </c>
      <c r="C11">
        <v>391.05008709999998</v>
      </c>
      <c r="D11" s="1">
        <v>44852</v>
      </c>
    </row>
    <row r="12" spans="1:4" x14ac:dyDescent="0.25">
      <c r="A12">
        <v>90</v>
      </c>
      <c r="B12" t="s">
        <v>10</v>
      </c>
      <c r="C12">
        <v>368.20144640000001</v>
      </c>
      <c r="D12" s="1">
        <v>44924</v>
      </c>
    </row>
    <row r="13" spans="1:4" x14ac:dyDescent="0.25">
      <c r="A13">
        <v>91</v>
      </c>
      <c r="B13" t="s">
        <v>4</v>
      </c>
      <c r="C13">
        <v>465.84051540000002</v>
      </c>
      <c r="D13" s="1">
        <v>44722</v>
      </c>
    </row>
    <row r="14" spans="1:4" x14ac:dyDescent="0.25">
      <c r="A14">
        <v>69</v>
      </c>
      <c r="B14" t="s">
        <v>11</v>
      </c>
      <c r="C14">
        <v>470.24447359999999</v>
      </c>
      <c r="D14" s="1">
        <v>44772</v>
      </c>
    </row>
    <row r="15" spans="1:4" x14ac:dyDescent="0.25">
      <c r="A15">
        <v>91</v>
      </c>
      <c r="B15" t="s">
        <v>4</v>
      </c>
      <c r="C15">
        <v>508.8512642</v>
      </c>
      <c r="D15" s="1">
        <v>44619</v>
      </c>
    </row>
    <row r="16" spans="1:4" x14ac:dyDescent="0.25">
      <c r="A16">
        <v>57</v>
      </c>
      <c r="B16" t="s">
        <v>9</v>
      </c>
      <c r="C16">
        <v>609.06446100000005</v>
      </c>
      <c r="D16" s="1">
        <v>44914</v>
      </c>
    </row>
    <row r="17" spans="1:4" x14ac:dyDescent="0.25">
      <c r="A17">
        <v>92</v>
      </c>
      <c r="B17" t="s">
        <v>5</v>
      </c>
      <c r="C17">
        <v>347.35469289999997</v>
      </c>
      <c r="D17" s="1">
        <v>44624</v>
      </c>
    </row>
    <row r="18" spans="1:4" x14ac:dyDescent="0.25">
      <c r="A18">
        <v>9</v>
      </c>
      <c r="B18" t="s">
        <v>5</v>
      </c>
      <c r="C18">
        <v>651.92899199999999</v>
      </c>
      <c r="D18" s="1">
        <v>44693</v>
      </c>
    </row>
    <row r="19" spans="1:4" x14ac:dyDescent="0.25">
      <c r="A19">
        <v>93</v>
      </c>
      <c r="B19" t="s">
        <v>7</v>
      </c>
      <c r="C19">
        <v>545.20854199999997</v>
      </c>
      <c r="D19" s="1">
        <v>44712</v>
      </c>
    </row>
    <row r="20" spans="1:4" x14ac:dyDescent="0.25">
      <c r="A20">
        <v>99</v>
      </c>
      <c r="B20" t="s">
        <v>4</v>
      </c>
      <c r="C20">
        <v>492.07605589999997</v>
      </c>
      <c r="D20" s="1">
        <v>44819</v>
      </c>
    </row>
    <row r="21" spans="1:4" x14ac:dyDescent="0.25">
      <c r="A21">
        <v>72</v>
      </c>
      <c r="B21" t="s">
        <v>9</v>
      </c>
      <c r="C21">
        <v>530.55692850000003</v>
      </c>
      <c r="D21" s="1">
        <v>44859</v>
      </c>
    </row>
    <row r="22" spans="1:4" x14ac:dyDescent="0.25">
      <c r="A22">
        <v>26</v>
      </c>
      <c r="B22" t="s">
        <v>6</v>
      </c>
      <c r="C22">
        <v>414.35308220000002</v>
      </c>
      <c r="D22" s="1">
        <v>44657</v>
      </c>
    </row>
    <row r="23" spans="1:4" x14ac:dyDescent="0.25">
      <c r="A23">
        <v>7</v>
      </c>
      <c r="B23" t="s">
        <v>4</v>
      </c>
      <c r="C23">
        <v>610.39246449999996</v>
      </c>
      <c r="D23" s="1">
        <v>44818</v>
      </c>
    </row>
    <row r="24" spans="1:4" x14ac:dyDescent="0.25">
      <c r="A24">
        <v>42</v>
      </c>
      <c r="B24" t="s">
        <v>11</v>
      </c>
      <c r="C24">
        <v>578.01726529999996</v>
      </c>
      <c r="D24" s="1">
        <v>44785</v>
      </c>
    </row>
    <row r="25" spans="1:4" x14ac:dyDescent="0.25">
      <c r="A25">
        <v>9</v>
      </c>
      <c r="B25" t="s">
        <v>12</v>
      </c>
      <c r="C25">
        <v>359.57478520000001</v>
      </c>
      <c r="D25" s="1">
        <v>44622</v>
      </c>
    </row>
    <row r="26" spans="1:4" x14ac:dyDescent="0.25">
      <c r="A26">
        <v>83</v>
      </c>
      <c r="B26" t="s">
        <v>13</v>
      </c>
      <c r="C26">
        <v>411.84372550000001</v>
      </c>
      <c r="D26" s="1">
        <v>44754</v>
      </c>
    </row>
    <row r="27" spans="1:4" x14ac:dyDescent="0.25">
      <c r="A27">
        <v>36</v>
      </c>
      <c r="B27" t="s">
        <v>13</v>
      </c>
      <c r="C27">
        <v>482.76064789999998</v>
      </c>
      <c r="D27" s="1">
        <v>44665</v>
      </c>
    </row>
    <row r="28" spans="1:4" x14ac:dyDescent="0.25">
      <c r="A28">
        <v>78</v>
      </c>
      <c r="B28" t="s">
        <v>9</v>
      </c>
      <c r="C28">
        <v>411.26721680000003</v>
      </c>
      <c r="D28" s="1">
        <v>44644</v>
      </c>
    </row>
    <row r="29" spans="1:4" x14ac:dyDescent="0.25">
      <c r="A29">
        <v>81</v>
      </c>
      <c r="B29" t="s">
        <v>5</v>
      </c>
      <c r="C29">
        <v>334.40645260000002</v>
      </c>
      <c r="D29" s="1">
        <v>44601</v>
      </c>
    </row>
    <row r="30" spans="1:4" x14ac:dyDescent="0.25">
      <c r="A30">
        <v>43</v>
      </c>
      <c r="B30" t="s">
        <v>13</v>
      </c>
      <c r="C30">
        <v>436.21954729999999</v>
      </c>
      <c r="D30" s="1">
        <v>44653</v>
      </c>
    </row>
    <row r="31" spans="1:4" x14ac:dyDescent="0.25">
      <c r="A31">
        <v>76</v>
      </c>
      <c r="B31" t="s">
        <v>8</v>
      </c>
      <c r="C31">
        <v>471.01421729999998</v>
      </c>
      <c r="D31" s="1">
        <v>44776</v>
      </c>
    </row>
    <row r="32" spans="1:4" x14ac:dyDescent="0.25">
      <c r="A32">
        <v>15</v>
      </c>
      <c r="B32" t="s">
        <v>8</v>
      </c>
      <c r="C32">
        <v>357.87050169999998</v>
      </c>
      <c r="D32" s="1">
        <v>44594</v>
      </c>
    </row>
    <row r="33" spans="1:4" x14ac:dyDescent="0.25">
      <c r="A33">
        <v>32</v>
      </c>
      <c r="B33" t="s">
        <v>8</v>
      </c>
      <c r="C33">
        <v>487.80049029999998</v>
      </c>
      <c r="D33" s="1">
        <v>44865</v>
      </c>
    </row>
    <row r="34" spans="1:4" x14ac:dyDescent="0.25">
      <c r="A34">
        <v>7</v>
      </c>
      <c r="B34" t="s">
        <v>12</v>
      </c>
      <c r="C34">
        <v>392.92207289999999</v>
      </c>
      <c r="D34" s="1">
        <v>44888</v>
      </c>
    </row>
    <row r="35" spans="1:4" x14ac:dyDescent="0.25">
      <c r="A35">
        <v>9</v>
      </c>
      <c r="B35" t="s">
        <v>13</v>
      </c>
      <c r="C35">
        <v>311.22460560000002</v>
      </c>
      <c r="D35" s="1">
        <v>44809</v>
      </c>
    </row>
    <row r="36" spans="1:4" x14ac:dyDescent="0.25">
      <c r="A36">
        <v>41</v>
      </c>
      <c r="B36" t="s">
        <v>5</v>
      </c>
      <c r="C36">
        <v>425.67789679999998</v>
      </c>
      <c r="D36" s="1">
        <v>44791</v>
      </c>
    </row>
    <row r="37" spans="1:4" x14ac:dyDescent="0.25">
      <c r="A37">
        <v>74</v>
      </c>
      <c r="B37" t="s">
        <v>4</v>
      </c>
      <c r="C37">
        <v>412.43527840000002</v>
      </c>
      <c r="D37" s="1">
        <v>44840</v>
      </c>
    </row>
    <row r="38" spans="1:4" x14ac:dyDescent="0.25">
      <c r="A38">
        <v>23</v>
      </c>
      <c r="B38" t="s">
        <v>5</v>
      </c>
      <c r="C38">
        <v>650.75989049999998</v>
      </c>
      <c r="D38" s="1">
        <v>44903</v>
      </c>
    </row>
    <row r="39" spans="1:4" x14ac:dyDescent="0.25">
      <c r="A39">
        <v>27</v>
      </c>
      <c r="B39" t="s">
        <v>5</v>
      </c>
      <c r="C39">
        <v>450.42203039999998</v>
      </c>
      <c r="D39" s="1">
        <v>44735</v>
      </c>
    </row>
    <row r="40" spans="1:4" x14ac:dyDescent="0.25">
      <c r="A40">
        <v>60</v>
      </c>
      <c r="B40" t="s">
        <v>4</v>
      </c>
      <c r="C40">
        <v>541.51550789999999</v>
      </c>
      <c r="D40" s="1">
        <v>44814</v>
      </c>
    </row>
    <row r="41" spans="1:4" x14ac:dyDescent="0.25">
      <c r="A41">
        <v>53</v>
      </c>
      <c r="B41" t="s">
        <v>9</v>
      </c>
      <c r="C41">
        <v>459.86068260000002</v>
      </c>
      <c r="D41" s="1">
        <v>44635</v>
      </c>
    </row>
    <row r="42" spans="1:4" x14ac:dyDescent="0.25">
      <c r="A42">
        <v>7</v>
      </c>
      <c r="B42" t="s">
        <v>12</v>
      </c>
      <c r="C42">
        <v>442.65911829999999</v>
      </c>
      <c r="D42" s="1">
        <v>44774</v>
      </c>
    </row>
    <row r="43" spans="1:4" x14ac:dyDescent="0.25">
      <c r="A43">
        <v>53</v>
      </c>
      <c r="B43" t="s">
        <v>12</v>
      </c>
      <c r="C43">
        <v>390.62024559999998</v>
      </c>
      <c r="D43" s="1">
        <v>44917</v>
      </c>
    </row>
    <row r="44" spans="1:4" x14ac:dyDescent="0.25">
      <c r="A44">
        <v>27</v>
      </c>
      <c r="B44" t="s">
        <v>10</v>
      </c>
      <c r="C44">
        <v>350.24154750000002</v>
      </c>
      <c r="D44" s="1">
        <v>44764</v>
      </c>
    </row>
    <row r="45" spans="1:4" x14ac:dyDescent="0.25">
      <c r="A45">
        <v>96</v>
      </c>
      <c r="B45" t="s">
        <v>6</v>
      </c>
      <c r="C45">
        <v>546.80762289999996</v>
      </c>
      <c r="D45" s="1">
        <v>44605</v>
      </c>
    </row>
    <row r="46" spans="1:4" x14ac:dyDescent="0.25">
      <c r="A46">
        <v>38</v>
      </c>
      <c r="B46" t="s">
        <v>13</v>
      </c>
      <c r="C46">
        <v>657.64509820000001</v>
      </c>
      <c r="D46" s="1">
        <v>44701</v>
      </c>
    </row>
    <row r="47" spans="1:4" x14ac:dyDescent="0.25">
      <c r="A47">
        <v>89</v>
      </c>
      <c r="B47" t="s">
        <v>6</v>
      </c>
      <c r="C47">
        <v>532.19115160000001</v>
      </c>
      <c r="D47" s="1">
        <v>44887</v>
      </c>
    </row>
    <row r="48" spans="1:4" x14ac:dyDescent="0.25">
      <c r="A48">
        <v>34</v>
      </c>
      <c r="B48" t="s">
        <v>13</v>
      </c>
      <c r="C48">
        <v>541.03015370000003</v>
      </c>
      <c r="D48" s="1">
        <v>44630</v>
      </c>
    </row>
    <row r="49" spans="1:4" x14ac:dyDescent="0.25">
      <c r="A49">
        <v>93</v>
      </c>
      <c r="B49" t="s">
        <v>11</v>
      </c>
      <c r="C49">
        <v>498.91697429999999</v>
      </c>
      <c r="D49" s="1">
        <v>44686</v>
      </c>
    </row>
    <row r="50" spans="1:4" x14ac:dyDescent="0.25">
      <c r="A50">
        <v>69</v>
      </c>
      <c r="B50" t="s">
        <v>7</v>
      </c>
      <c r="C50">
        <v>596.14536680000003</v>
      </c>
      <c r="D50" s="1">
        <v>44747</v>
      </c>
    </row>
    <row r="51" spans="1:4" x14ac:dyDescent="0.25">
      <c r="A51">
        <v>72</v>
      </c>
      <c r="B51" t="s">
        <v>5</v>
      </c>
      <c r="C51">
        <v>543.12322010000003</v>
      </c>
      <c r="D51" s="1">
        <v>44612</v>
      </c>
    </row>
    <row r="52" spans="1:4" x14ac:dyDescent="0.25">
      <c r="A52">
        <v>76</v>
      </c>
      <c r="B52" t="s">
        <v>11</v>
      </c>
      <c r="C52">
        <v>330.61330270000002</v>
      </c>
      <c r="D52" s="1">
        <v>44570</v>
      </c>
    </row>
    <row r="53" spans="1:4" x14ac:dyDescent="0.25">
      <c r="A53">
        <v>63</v>
      </c>
      <c r="B53" t="s">
        <v>8</v>
      </c>
      <c r="C53">
        <v>315.59406269999999</v>
      </c>
      <c r="D53" s="1">
        <v>44589</v>
      </c>
    </row>
    <row r="54" spans="1:4" x14ac:dyDescent="0.25">
      <c r="A54">
        <v>13</v>
      </c>
      <c r="B54" t="s">
        <v>7</v>
      </c>
      <c r="C54">
        <v>480.94963919999998</v>
      </c>
      <c r="D54" s="1">
        <v>44754</v>
      </c>
    </row>
    <row r="55" spans="1:4" x14ac:dyDescent="0.25">
      <c r="A55">
        <v>82</v>
      </c>
      <c r="B55" t="s">
        <v>13</v>
      </c>
      <c r="C55">
        <v>397.06601039999998</v>
      </c>
      <c r="D55" s="1">
        <v>44867</v>
      </c>
    </row>
    <row r="56" spans="1:4" x14ac:dyDescent="0.25">
      <c r="A56">
        <v>97</v>
      </c>
      <c r="B56" t="s">
        <v>13</v>
      </c>
      <c r="C56">
        <v>559.03110389999995</v>
      </c>
      <c r="D56" s="1">
        <v>44603</v>
      </c>
    </row>
    <row r="57" spans="1:4" x14ac:dyDescent="0.25">
      <c r="A57">
        <v>91</v>
      </c>
      <c r="B57" t="s">
        <v>13</v>
      </c>
      <c r="C57">
        <v>456.10509510000003</v>
      </c>
      <c r="D57" s="1">
        <v>44779</v>
      </c>
    </row>
    <row r="58" spans="1:4" x14ac:dyDescent="0.25">
      <c r="A58">
        <v>25</v>
      </c>
      <c r="B58" t="s">
        <v>11</v>
      </c>
      <c r="C58">
        <v>599.63475489999996</v>
      </c>
      <c r="D58" s="1">
        <v>44773</v>
      </c>
    </row>
    <row r="59" spans="1:4" x14ac:dyDescent="0.25">
      <c r="A59">
        <v>38</v>
      </c>
      <c r="B59" t="s">
        <v>6</v>
      </c>
      <c r="C59">
        <v>667.50919009999996</v>
      </c>
      <c r="D59" s="1">
        <v>44739</v>
      </c>
    </row>
    <row r="60" spans="1:4" x14ac:dyDescent="0.25">
      <c r="A60">
        <v>21</v>
      </c>
      <c r="B60" t="s">
        <v>13</v>
      </c>
      <c r="C60">
        <v>665.10122820000004</v>
      </c>
      <c r="D60" s="1">
        <v>44727</v>
      </c>
    </row>
    <row r="61" spans="1:4" x14ac:dyDescent="0.25">
      <c r="A61">
        <v>79</v>
      </c>
      <c r="B61" t="s">
        <v>5</v>
      </c>
      <c r="C61">
        <v>480.31728190000001</v>
      </c>
      <c r="D61" s="1">
        <v>44874</v>
      </c>
    </row>
    <row r="62" spans="1:4" x14ac:dyDescent="0.25">
      <c r="A62">
        <v>41</v>
      </c>
      <c r="B62" t="s">
        <v>7</v>
      </c>
      <c r="C62">
        <v>419.55437039999998</v>
      </c>
      <c r="D62" s="1">
        <v>44892</v>
      </c>
    </row>
    <row r="63" spans="1:4" x14ac:dyDescent="0.25">
      <c r="A63">
        <v>47</v>
      </c>
      <c r="B63" t="s">
        <v>7</v>
      </c>
      <c r="C63">
        <v>486.18927989999997</v>
      </c>
      <c r="D63" s="1">
        <v>44892</v>
      </c>
    </row>
    <row r="64" spans="1:4" x14ac:dyDescent="0.25">
      <c r="A64">
        <v>90</v>
      </c>
      <c r="B64" t="s">
        <v>4</v>
      </c>
      <c r="C64">
        <v>361.64677349999999</v>
      </c>
      <c r="D64" s="1">
        <v>44581</v>
      </c>
    </row>
    <row r="65" spans="1:4" x14ac:dyDescent="0.25">
      <c r="A65">
        <v>60</v>
      </c>
      <c r="B65" t="s">
        <v>5</v>
      </c>
      <c r="C65">
        <v>625.33064820000004</v>
      </c>
      <c r="D65" s="1">
        <v>44895</v>
      </c>
    </row>
    <row r="66" spans="1:4" x14ac:dyDescent="0.25">
      <c r="A66">
        <v>95</v>
      </c>
      <c r="B66" t="s">
        <v>10</v>
      </c>
      <c r="C66">
        <v>313.1225015</v>
      </c>
      <c r="D66" s="1">
        <v>44777</v>
      </c>
    </row>
    <row r="67" spans="1:4" x14ac:dyDescent="0.25">
      <c r="A67">
        <v>16</v>
      </c>
      <c r="B67" t="s">
        <v>4</v>
      </c>
      <c r="C67">
        <v>379.13321860000002</v>
      </c>
      <c r="D67" s="1">
        <v>44618</v>
      </c>
    </row>
    <row r="68" spans="1:4" x14ac:dyDescent="0.25">
      <c r="A68">
        <v>94</v>
      </c>
      <c r="B68" t="s">
        <v>4</v>
      </c>
      <c r="C68">
        <v>558.14156579999997</v>
      </c>
      <c r="D68" s="1">
        <v>44759</v>
      </c>
    </row>
    <row r="69" spans="1:4" x14ac:dyDescent="0.25">
      <c r="A69">
        <v>6</v>
      </c>
      <c r="B69" t="s">
        <v>10</v>
      </c>
      <c r="C69">
        <v>534.36891219999995</v>
      </c>
      <c r="D69" s="1">
        <v>44868</v>
      </c>
    </row>
    <row r="70" spans="1:4" x14ac:dyDescent="0.25">
      <c r="A70">
        <v>72</v>
      </c>
      <c r="B70" t="s">
        <v>7</v>
      </c>
      <c r="C70">
        <v>586.8671038</v>
      </c>
      <c r="D70" s="1">
        <v>44715</v>
      </c>
    </row>
    <row r="71" spans="1:4" x14ac:dyDescent="0.25">
      <c r="A71">
        <v>86</v>
      </c>
      <c r="B71" t="s">
        <v>5</v>
      </c>
      <c r="C71">
        <v>405.37588670000002</v>
      </c>
      <c r="D71" s="1">
        <v>44837</v>
      </c>
    </row>
    <row r="72" spans="1:4" x14ac:dyDescent="0.25">
      <c r="A72">
        <v>86</v>
      </c>
      <c r="B72" t="s">
        <v>13</v>
      </c>
      <c r="C72">
        <v>339.10247129999999</v>
      </c>
      <c r="D72" s="1">
        <v>44702</v>
      </c>
    </row>
    <row r="73" spans="1:4" x14ac:dyDescent="0.25">
      <c r="A73">
        <v>39</v>
      </c>
      <c r="B73" t="s">
        <v>6</v>
      </c>
      <c r="C73">
        <v>600.08817309999995</v>
      </c>
      <c r="D73" s="1">
        <v>44765</v>
      </c>
    </row>
    <row r="74" spans="1:4" x14ac:dyDescent="0.25">
      <c r="A74">
        <v>31</v>
      </c>
      <c r="B74" t="s">
        <v>13</v>
      </c>
      <c r="C74">
        <v>557.53895109999996</v>
      </c>
      <c r="D74" s="1">
        <v>44864</v>
      </c>
    </row>
    <row r="75" spans="1:4" x14ac:dyDescent="0.25">
      <c r="A75">
        <v>81</v>
      </c>
      <c r="B75" t="s">
        <v>13</v>
      </c>
      <c r="C75">
        <v>724.04935980000005</v>
      </c>
      <c r="D75" s="1">
        <v>44659</v>
      </c>
    </row>
    <row r="76" spans="1:4" x14ac:dyDescent="0.25">
      <c r="A76">
        <v>50</v>
      </c>
      <c r="B76" t="s">
        <v>7</v>
      </c>
      <c r="C76">
        <v>392.77048079999997</v>
      </c>
      <c r="D76" s="1">
        <v>44622</v>
      </c>
    </row>
    <row r="77" spans="1:4" x14ac:dyDescent="0.25">
      <c r="A77">
        <v>34</v>
      </c>
      <c r="B77" t="s">
        <v>4</v>
      </c>
      <c r="C77">
        <v>316.3667466</v>
      </c>
      <c r="D77" s="1">
        <v>44749</v>
      </c>
    </row>
    <row r="78" spans="1:4" x14ac:dyDescent="0.25">
      <c r="A78">
        <v>4</v>
      </c>
      <c r="B78" t="s">
        <v>10</v>
      </c>
      <c r="C78">
        <v>581.11228019999999</v>
      </c>
      <c r="D78" s="1">
        <v>44775</v>
      </c>
    </row>
    <row r="79" spans="1:4" x14ac:dyDescent="0.25">
      <c r="A79">
        <v>13</v>
      </c>
      <c r="B79" t="s">
        <v>9</v>
      </c>
      <c r="C79">
        <v>662.85832219999998</v>
      </c>
      <c r="D79" s="1">
        <v>44823</v>
      </c>
    </row>
    <row r="80" spans="1:4" x14ac:dyDescent="0.25">
      <c r="A80">
        <v>69</v>
      </c>
      <c r="B80" t="s">
        <v>12</v>
      </c>
      <c r="C80">
        <v>483.066124</v>
      </c>
      <c r="D80" s="1">
        <v>44641</v>
      </c>
    </row>
    <row r="81" spans="1:4" x14ac:dyDescent="0.25">
      <c r="A81">
        <v>25</v>
      </c>
      <c r="B81" t="s">
        <v>13</v>
      </c>
      <c r="C81">
        <v>585.85251440000002</v>
      </c>
      <c r="D81" s="1">
        <v>44896</v>
      </c>
    </row>
    <row r="82" spans="1:4" x14ac:dyDescent="0.25">
      <c r="A82">
        <v>52</v>
      </c>
      <c r="B82" t="s">
        <v>4</v>
      </c>
      <c r="C82">
        <v>455.84032209999998</v>
      </c>
      <c r="D82" s="1">
        <v>44858</v>
      </c>
    </row>
    <row r="83" spans="1:4" x14ac:dyDescent="0.25">
      <c r="A83">
        <v>22</v>
      </c>
      <c r="B83" t="s">
        <v>10</v>
      </c>
      <c r="C83">
        <v>608.58583680000004</v>
      </c>
      <c r="D83" s="1">
        <v>44612</v>
      </c>
    </row>
    <row r="84" spans="1:4" x14ac:dyDescent="0.25">
      <c r="A84">
        <v>89</v>
      </c>
      <c r="B84" t="s">
        <v>8</v>
      </c>
      <c r="C84">
        <v>537.2178778</v>
      </c>
      <c r="D84" s="1">
        <v>44659</v>
      </c>
    </row>
    <row r="85" spans="1:4" x14ac:dyDescent="0.25">
      <c r="A85">
        <v>32</v>
      </c>
      <c r="B85" t="s">
        <v>4</v>
      </c>
      <c r="C85">
        <v>550.39650349999999</v>
      </c>
      <c r="D85" s="1">
        <v>44768</v>
      </c>
    </row>
    <row r="86" spans="1:4" x14ac:dyDescent="0.25">
      <c r="A86">
        <v>25</v>
      </c>
      <c r="B86" t="s">
        <v>6</v>
      </c>
      <c r="C86">
        <v>368.76293620000001</v>
      </c>
      <c r="D86" s="1">
        <v>44623</v>
      </c>
    </row>
    <row r="87" spans="1:4" x14ac:dyDescent="0.25">
      <c r="A87">
        <v>87</v>
      </c>
      <c r="B87" t="s">
        <v>13</v>
      </c>
      <c r="C87">
        <v>429.65086350000001</v>
      </c>
      <c r="D87" s="1">
        <v>44825</v>
      </c>
    </row>
    <row r="88" spans="1:4" x14ac:dyDescent="0.25">
      <c r="A88">
        <v>35</v>
      </c>
      <c r="B88" t="s">
        <v>9</v>
      </c>
      <c r="C88">
        <v>442.87706439999999</v>
      </c>
      <c r="D88" s="1">
        <v>44822</v>
      </c>
    </row>
    <row r="89" spans="1:4" x14ac:dyDescent="0.25">
      <c r="A89">
        <v>40</v>
      </c>
      <c r="B89" t="s">
        <v>11</v>
      </c>
      <c r="C89">
        <v>474.59903539999999</v>
      </c>
      <c r="D89" s="1">
        <v>44742</v>
      </c>
    </row>
    <row r="90" spans="1:4" x14ac:dyDescent="0.25">
      <c r="A90">
        <v>30</v>
      </c>
      <c r="B90" t="s">
        <v>12</v>
      </c>
      <c r="C90">
        <v>360.0803368</v>
      </c>
      <c r="D90" s="1">
        <v>44792</v>
      </c>
    </row>
    <row r="91" spans="1:4" x14ac:dyDescent="0.25">
      <c r="A91">
        <v>12</v>
      </c>
      <c r="B91" t="s">
        <v>6</v>
      </c>
      <c r="C91">
        <v>563.03848919999996</v>
      </c>
      <c r="D91" s="1">
        <v>44707</v>
      </c>
    </row>
    <row r="92" spans="1:4" x14ac:dyDescent="0.25">
      <c r="A92">
        <v>31</v>
      </c>
      <c r="B92" t="s">
        <v>7</v>
      </c>
      <c r="C92">
        <v>409.1637058</v>
      </c>
      <c r="D92" s="1">
        <v>44911</v>
      </c>
    </row>
    <row r="93" spans="1:4" x14ac:dyDescent="0.25">
      <c r="A93">
        <v>30</v>
      </c>
      <c r="B93" t="s">
        <v>6</v>
      </c>
      <c r="C93">
        <v>529.13993430000005</v>
      </c>
      <c r="D93" s="1">
        <v>44721</v>
      </c>
    </row>
    <row r="94" spans="1:4" x14ac:dyDescent="0.25">
      <c r="A94">
        <v>64</v>
      </c>
      <c r="B94" t="s">
        <v>6</v>
      </c>
      <c r="C94">
        <v>338.6291961</v>
      </c>
      <c r="D94" s="1">
        <v>44709</v>
      </c>
    </row>
    <row r="95" spans="1:4" x14ac:dyDescent="0.25">
      <c r="A95">
        <v>99</v>
      </c>
      <c r="B95" t="s">
        <v>7</v>
      </c>
      <c r="C95">
        <v>408.829545</v>
      </c>
      <c r="D95" s="1">
        <v>44811</v>
      </c>
    </row>
    <row r="96" spans="1:4" x14ac:dyDescent="0.25">
      <c r="A96">
        <v>14</v>
      </c>
      <c r="B96" t="s">
        <v>11</v>
      </c>
      <c r="C96">
        <v>709.40321700000004</v>
      </c>
      <c r="D96" s="1">
        <v>44639</v>
      </c>
    </row>
    <row r="97" spans="1:4" x14ac:dyDescent="0.25">
      <c r="A97">
        <v>93</v>
      </c>
      <c r="B97" t="s">
        <v>11</v>
      </c>
      <c r="C97">
        <v>556.07870869999999</v>
      </c>
      <c r="D97" s="1">
        <v>44883</v>
      </c>
    </row>
    <row r="98" spans="1:4" x14ac:dyDescent="0.25">
      <c r="A98">
        <v>96</v>
      </c>
      <c r="B98" t="s">
        <v>11</v>
      </c>
      <c r="C98">
        <v>506.45298750000001</v>
      </c>
      <c r="D98" s="1">
        <v>44678</v>
      </c>
    </row>
    <row r="99" spans="1:4" x14ac:dyDescent="0.25">
      <c r="A99">
        <v>71</v>
      </c>
      <c r="B99" t="s">
        <v>10</v>
      </c>
      <c r="C99">
        <v>385.86423009999999</v>
      </c>
      <c r="D99" s="1">
        <v>44781</v>
      </c>
    </row>
    <row r="100" spans="1:4" x14ac:dyDescent="0.25">
      <c r="A100">
        <v>67</v>
      </c>
      <c r="B100" t="s">
        <v>12</v>
      </c>
      <c r="C100">
        <v>431.28795439999999</v>
      </c>
      <c r="D100" s="1">
        <v>44924</v>
      </c>
    </row>
    <row r="101" spans="1:4" x14ac:dyDescent="0.25">
      <c r="A101">
        <v>23</v>
      </c>
      <c r="B101" t="s">
        <v>10</v>
      </c>
      <c r="C101">
        <v>402.06415809999999</v>
      </c>
      <c r="D101" s="1">
        <v>44796</v>
      </c>
    </row>
    <row r="102" spans="1:4" x14ac:dyDescent="0.25">
      <c r="A102">
        <v>79</v>
      </c>
      <c r="B102" t="s">
        <v>4</v>
      </c>
      <c r="C102">
        <v>546.05189470000005</v>
      </c>
      <c r="D102" s="1">
        <v>44750</v>
      </c>
    </row>
    <row r="103" spans="1:4" x14ac:dyDescent="0.25">
      <c r="A103">
        <v>85</v>
      </c>
      <c r="B103" t="s">
        <v>4</v>
      </c>
      <c r="C103">
        <v>704.40152609999996</v>
      </c>
      <c r="D103" s="1">
        <v>44718</v>
      </c>
    </row>
    <row r="104" spans="1:4" x14ac:dyDescent="0.25">
      <c r="A104">
        <v>37</v>
      </c>
      <c r="B104" t="s">
        <v>7</v>
      </c>
      <c r="C104">
        <v>657.02090050000004</v>
      </c>
      <c r="D104" s="1">
        <v>44888</v>
      </c>
    </row>
    <row r="105" spans="1:4" x14ac:dyDescent="0.25">
      <c r="A105">
        <v>8</v>
      </c>
      <c r="B105" t="s">
        <v>10</v>
      </c>
      <c r="C105">
        <v>517.11902210000005</v>
      </c>
      <c r="D105" s="1">
        <v>44840</v>
      </c>
    </row>
    <row r="106" spans="1:4" x14ac:dyDescent="0.25">
      <c r="A106">
        <v>51</v>
      </c>
      <c r="B106" t="s">
        <v>8</v>
      </c>
      <c r="C106">
        <v>458.99142810000001</v>
      </c>
      <c r="D106" s="1">
        <v>44920</v>
      </c>
    </row>
    <row r="107" spans="1:4" x14ac:dyDescent="0.25">
      <c r="A107">
        <v>74</v>
      </c>
      <c r="B107" t="s">
        <v>4</v>
      </c>
      <c r="C107">
        <v>641.53801469999996</v>
      </c>
      <c r="D107" s="1">
        <v>44824</v>
      </c>
    </row>
    <row r="108" spans="1:4" x14ac:dyDescent="0.25">
      <c r="A108">
        <v>50</v>
      </c>
      <c r="B108" t="s">
        <v>9</v>
      </c>
      <c r="C108">
        <v>621.65496759999996</v>
      </c>
      <c r="D108" s="1">
        <v>44836</v>
      </c>
    </row>
    <row r="109" spans="1:4" x14ac:dyDescent="0.25">
      <c r="A109">
        <v>98</v>
      </c>
      <c r="B109" t="s">
        <v>4</v>
      </c>
      <c r="C109">
        <v>480.7723431</v>
      </c>
      <c r="D109" s="1">
        <v>44912</v>
      </c>
    </row>
    <row r="110" spans="1:4" x14ac:dyDescent="0.25">
      <c r="A110">
        <v>74</v>
      </c>
      <c r="B110" t="s">
        <v>7</v>
      </c>
      <c r="C110">
        <v>679.13875280000002</v>
      </c>
      <c r="D110" s="1">
        <v>44859</v>
      </c>
    </row>
    <row r="111" spans="1:4" x14ac:dyDescent="0.25">
      <c r="A111">
        <v>86</v>
      </c>
      <c r="B111" t="s">
        <v>8</v>
      </c>
      <c r="C111">
        <v>546.86512600000003</v>
      </c>
      <c r="D111" s="1">
        <v>44737</v>
      </c>
    </row>
    <row r="112" spans="1:4" x14ac:dyDescent="0.25">
      <c r="A112">
        <v>76</v>
      </c>
      <c r="B112" t="s">
        <v>4</v>
      </c>
      <c r="C112">
        <v>421.51638630000002</v>
      </c>
      <c r="D112" s="1">
        <v>44719</v>
      </c>
    </row>
    <row r="113" spans="1:4" x14ac:dyDescent="0.25">
      <c r="A113">
        <v>84</v>
      </c>
      <c r="B113" t="s">
        <v>4</v>
      </c>
      <c r="C113">
        <v>401.24883219999998</v>
      </c>
      <c r="D113" s="1">
        <v>44711</v>
      </c>
    </row>
    <row r="114" spans="1:4" x14ac:dyDescent="0.25">
      <c r="A114">
        <v>46</v>
      </c>
      <c r="B114" t="s">
        <v>13</v>
      </c>
      <c r="C114">
        <v>429.0106533</v>
      </c>
      <c r="D114" s="1">
        <v>44909</v>
      </c>
    </row>
    <row r="115" spans="1:4" x14ac:dyDescent="0.25">
      <c r="A115">
        <v>17</v>
      </c>
      <c r="B115" t="s">
        <v>13</v>
      </c>
      <c r="C115">
        <v>544.25512070000002</v>
      </c>
      <c r="D115" s="1">
        <v>44750</v>
      </c>
    </row>
    <row r="116" spans="1:4" x14ac:dyDescent="0.25">
      <c r="A116">
        <v>62</v>
      </c>
      <c r="B116" t="s">
        <v>6</v>
      </c>
      <c r="C116">
        <v>456.77976589999997</v>
      </c>
      <c r="D116" s="1">
        <v>44562</v>
      </c>
    </row>
    <row r="117" spans="1:4" x14ac:dyDescent="0.25">
      <c r="A117">
        <v>46</v>
      </c>
      <c r="B117" t="s">
        <v>8</v>
      </c>
      <c r="C117">
        <v>450.41177110000001</v>
      </c>
      <c r="D117" s="1">
        <v>44909</v>
      </c>
    </row>
    <row r="118" spans="1:4" x14ac:dyDescent="0.25">
      <c r="A118">
        <v>54</v>
      </c>
      <c r="B118" t="s">
        <v>6</v>
      </c>
      <c r="C118">
        <v>383.98955169999999</v>
      </c>
      <c r="D118" s="1">
        <v>44562</v>
      </c>
    </row>
    <row r="119" spans="1:4" x14ac:dyDescent="0.25">
      <c r="A119">
        <v>35</v>
      </c>
      <c r="B119" t="s">
        <v>4</v>
      </c>
      <c r="C119">
        <v>643.00846179999996</v>
      </c>
      <c r="D119" s="1">
        <v>44869</v>
      </c>
    </row>
    <row r="120" spans="1:4" x14ac:dyDescent="0.25">
      <c r="A120">
        <v>94</v>
      </c>
      <c r="B120" t="s">
        <v>11</v>
      </c>
      <c r="C120">
        <v>500.36475259999997</v>
      </c>
      <c r="D120" s="1">
        <v>44790</v>
      </c>
    </row>
    <row r="121" spans="1:4" x14ac:dyDescent="0.25">
      <c r="A121">
        <v>79</v>
      </c>
      <c r="B121" t="s">
        <v>8</v>
      </c>
      <c r="C121">
        <v>598.5975148</v>
      </c>
      <c r="D121" s="1">
        <v>44898</v>
      </c>
    </row>
    <row r="122" spans="1:4" x14ac:dyDescent="0.25">
      <c r="A122">
        <v>24</v>
      </c>
      <c r="B122" t="s">
        <v>10</v>
      </c>
      <c r="C122">
        <v>429.96362679999999</v>
      </c>
      <c r="D122" s="1">
        <v>44562</v>
      </c>
    </row>
    <row r="123" spans="1:4" x14ac:dyDescent="0.25">
      <c r="A123">
        <v>87</v>
      </c>
      <c r="B123" t="s">
        <v>7</v>
      </c>
      <c r="C123">
        <v>390.84504509999999</v>
      </c>
      <c r="D123" s="1">
        <v>44772</v>
      </c>
    </row>
    <row r="124" spans="1:4" x14ac:dyDescent="0.25">
      <c r="A124">
        <v>7</v>
      </c>
      <c r="B124" t="s">
        <v>9</v>
      </c>
      <c r="C124">
        <v>368.16043280000002</v>
      </c>
      <c r="D124" s="1">
        <v>44627</v>
      </c>
    </row>
    <row r="125" spans="1:4" x14ac:dyDescent="0.25">
      <c r="A125">
        <v>93</v>
      </c>
      <c r="B125" t="s">
        <v>6</v>
      </c>
      <c r="C125">
        <v>545.85055290000003</v>
      </c>
      <c r="D125" s="1">
        <v>44721</v>
      </c>
    </row>
    <row r="126" spans="1:4" x14ac:dyDescent="0.25">
      <c r="A126">
        <v>79</v>
      </c>
      <c r="B126" t="s">
        <v>7</v>
      </c>
      <c r="C126">
        <v>473.34777350000002</v>
      </c>
      <c r="D126" s="1">
        <v>44626</v>
      </c>
    </row>
    <row r="127" spans="1:4" x14ac:dyDescent="0.25">
      <c r="A127">
        <v>23</v>
      </c>
      <c r="B127" t="s">
        <v>13</v>
      </c>
      <c r="C127">
        <v>425.56113399999998</v>
      </c>
      <c r="D127" s="1">
        <v>44826</v>
      </c>
    </row>
    <row r="128" spans="1:4" x14ac:dyDescent="0.25">
      <c r="A128">
        <v>26</v>
      </c>
      <c r="B128" t="s">
        <v>8</v>
      </c>
      <c r="C128">
        <v>576.62119919999998</v>
      </c>
      <c r="D128" s="1">
        <v>44563</v>
      </c>
    </row>
    <row r="129" spans="1:4" x14ac:dyDescent="0.25">
      <c r="A129">
        <v>32</v>
      </c>
      <c r="B129" t="s">
        <v>11</v>
      </c>
      <c r="C129">
        <v>502.78514230000002</v>
      </c>
      <c r="D129" s="1">
        <v>44618</v>
      </c>
    </row>
    <row r="130" spans="1:4" x14ac:dyDescent="0.25">
      <c r="A130">
        <v>7</v>
      </c>
      <c r="B130" t="s">
        <v>12</v>
      </c>
      <c r="C130">
        <v>411.3571384</v>
      </c>
      <c r="D130" s="1">
        <v>44751</v>
      </c>
    </row>
    <row r="131" spans="1:4" x14ac:dyDescent="0.25">
      <c r="A131">
        <v>27</v>
      </c>
      <c r="B131" t="s">
        <v>10</v>
      </c>
      <c r="C131">
        <v>323.45190669999999</v>
      </c>
      <c r="D131" s="1">
        <v>44926</v>
      </c>
    </row>
    <row r="132" spans="1:4" x14ac:dyDescent="0.25">
      <c r="A132">
        <v>42</v>
      </c>
      <c r="B132" t="s">
        <v>6</v>
      </c>
      <c r="C132">
        <v>593.04768890000003</v>
      </c>
      <c r="D132" s="1">
        <v>44627</v>
      </c>
    </row>
    <row r="133" spans="1:4" x14ac:dyDescent="0.25">
      <c r="A133">
        <v>5</v>
      </c>
      <c r="B133" t="s">
        <v>6</v>
      </c>
      <c r="C133">
        <v>285.78775730000001</v>
      </c>
      <c r="D133" s="1">
        <v>44587</v>
      </c>
    </row>
    <row r="134" spans="1:4" x14ac:dyDescent="0.25">
      <c r="A134">
        <v>70</v>
      </c>
      <c r="B134" t="s">
        <v>10</v>
      </c>
      <c r="C134">
        <v>364.52379639999998</v>
      </c>
      <c r="D134" s="1">
        <v>44773</v>
      </c>
    </row>
    <row r="135" spans="1:4" x14ac:dyDescent="0.25">
      <c r="A135">
        <v>16</v>
      </c>
      <c r="B135" t="s">
        <v>4</v>
      </c>
      <c r="C135">
        <v>597.81834749999996</v>
      </c>
      <c r="D135" s="1">
        <v>44680</v>
      </c>
    </row>
    <row r="136" spans="1:4" x14ac:dyDescent="0.25">
      <c r="A136">
        <v>24</v>
      </c>
      <c r="B136" t="s">
        <v>12</v>
      </c>
      <c r="C136">
        <v>604.87851709999995</v>
      </c>
      <c r="D136" s="1">
        <v>44687</v>
      </c>
    </row>
    <row r="137" spans="1:4" x14ac:dyDescent="0.25">
      <c r="A137">
        <v>32</v>
      </c>
      <c r="B137" t="s">
        <v>10</v>
      </c>
      <c r="C137">
        <v>458.66836039999998</v>
      </c>
      <c r="D137" s="1">
        <v>44773</v>
      </c>
    </row>
    <row r="138" spans="1:4" x14ac:dyDescent="0.25">
      <c r="A138">
        <v>21</v>
      </c>
      <c r="B138" t="s">
        <v>7</v>
      </c>
      <c r="C138">
        <v>535.63749640000003</v>
      </c>
      <c r="D138" s="1">
        <v>44926</v>
      </c>
    </row>
    <row r="139" spans="1:4" x14ac:dyDescent="0.25">
      <c r="A139">
        <v>55</v>
      </c>
      <c r="B139" t="s">
        <v>8</v>
      </c>
      <c r="C139">
        <v>450.73249449999997</v>
      </c>
      <c r="D139" s="1">
        <v>44625</v>
      </c>
    </row>
    <row r="140" spans="1:4" x14ac:dyDescent="0.25">
      <c r="A140">
        <v>75</v>
      </c>
      <c r="B140" t="s">
        <v>8</v>
      </c>
      <c r="C140">
        <v>570.37194290000002</v>
      </c>
      <c r="D140" s="1">
        <v>44620</v>
      </c>
    </row>
    <row r="141" spans="1:4" x14ac:dyDescent="0.25">
      <c r="A141">
        <v>36</v>
      </c>
      <c r="B141" t="s">
        <v>7</v>
      </c>
      <c r="C141">
        <v>548.95881110000005</v>
      </c>
      <c r="D141" s="1">
        <v>44752</v>
      </c>
    </row>
    <row r="142" spans="1:4" x14ac:dyDescent="0.25">
      <c r="A142">
        <v>83</v>
      </c>
      <c r="B142" t="s">
        <v>13</v>
      </c>
      <c r="C142">
        <v>632.09852820000003</v>
      </c>
      <c r="D142" s="1">
        <v>44606</v>
      </c>
    </row>
    <row r="143" spans="1:4" x14ac:dyDescent="0.25">
      <c r="A143">
        <v>89</v>
      </c>
      <c r="B143" t="s">
        <v>12</v>
      </c>
      <c r="C143">
        <v>572.60442499999999</v>
      </c>
      <c r="D143" s="1">
        <v>44762</v>
      </c>
    </row>
    <row r="144" spans="1:4" x14ac:dyDescent="0.25">
      <c r="A144">
        <v>39</v>
      </c>
      <c r="B144" t="s">
        <v>13</v>
      </c>
      <c r="C144">
        <v>505.66901250000001</v>
      </c>
      <c r="D144" s="1">
        <v>44637</v>
      </c>
    </row>
    <row r="145" spans="1:4" x14ac:dyDescent="0.25">
      <c r="A145">
        <v>54</v>
      </c>
      <c r="B145" t="s">
        <v>5</v>
      </c>
      <c r="C145">
        <v>418.47184060000001</v>
      </c>
      <c r="D145" s="1">
        <v>44724</v>
      </c>
    </row>
    <row r="146" spans="1:4" x14ac:dyDescent="0.25">
      <c r="A146">
        <v>90</v>
      </c>
      <c r="B146" t="s">
        <v>9</v>
      </c>
      <c r="C146">
        <v>510.6438516</v>
      </c>
      <c r="D146" s="1">
        <v>44919</v>
      </c>
    </row>
    <row r="147" spans="1:4" x14ac:dyDescent="0.25">
      <c r="A147">
        <v>9</v>
      </c>
      <c r="B147" t="s">
        <v>13</v>
      </c>
      <c r="C147">
        <v>456.9270214</v>
      </c>
      <c r="D147" s="1">
        <v>44781</v>
      </c>
    </row>
    <row r="148" spans="1:4" x14ac:dyDescent="0.25">
      <c r="A148">
        <v>71</v>
      </c>
      <c r="B148" t="s">
        <v>9</v>
      </c>
      <c r="C148">
        <v>480.76729970000002</v>
      </c>
      <c r="D148" s="1">
        <v>44591</v>
      </c>
    </row>
    <row r="149" spans="1:4" x14ac:dyDescent="0.25">
      <c r="A149">
        <v>98</v>
      </c>
      <c r="B149" t="s">
        <v>7</v>
      </c>
      <c r="C149">
        <v>532.15155819999995</v>
      </c>
      <c r="D149" s="1">
        <v>44847</v>
      </c>
    </row>
    <row r="150" spans="1:4" x14ac:dyDescent="0.25">
      <c r="A150">
        <v>48</v>
      </c>
      <c r="B150" t="s">
        <v>10</v>
      </c>
      <c r="C150">
        <v>527.02987580000001</v>
      </c>
      <c r="D150" s="1">
        <v>44648</v>
      </c>
    </row>
    <row r="151" spans="1:4" x14ac:dyDescent="0.25">
      <c r="A151">
        <v>77</v>
      </c>
      <c r="B151" t="s">
        <v>8</v>
      </c>
      <c r="C151">
        <v>328.98495639999999</v>
      </c>
      <c r="D151" s="1">
        <v>44673</v>
      </c>
    </row>
    <row r="152" spans="1:4" x14ac:dyDescent="0.25">
      <c r="A152">
        <v>83</v>
      </c>
      <c r="B152" t="s">
        <v>7</v>
      </c>
      <c r="C152">
        <v>532.27588079999998</v>
      </c>
      <c r="D152" s="1">
        <v>44852</v>
      </c>
    </row>
    <row r="153" spans="1:4" x14ac:dyDescent="0.25">
      <c r="A153">
        <v>56</v>
      </c>
      <c r="B153" t="s">
        <v>13</v>
      </c>
      <c r="C153">
        <v>473.90995290000001</v>
      </c>
      <c r="D153" s="1">
        <v>44904</v>
      </c>
    </row>
    <row r="154" spans="1:4" x14ac:dyDescent="0.25">
      <c r="A154">
        <v>39</v>
      </c>
      <c r="B154" t="s">
        <v>11</v>
      </c>
      <c r="C154">
        <v>469.03084999999999</v>
      </c>
      <c r="D154" s="1">
        <v>44767</v>
      </c>
    </row>
    <row r="155" spans="1:4" x14ac:dyDescent="0.25">
      <c r="A155">
        <v>68</v>
      </c>
      <c r="B155" t="s">
        <v>5</v>
      </c>
      <c r="C155">
        <v>255.41999039999999</v>
      </c>
      <c r="D155" s="1">
        <v>44738</v>
      </c>
    </row>
    <row r="156" spans="1:4" x14ac:dyDescent="0.25">
      <c r="A156">
        <v>1</v>
      </c>
      <c r="B156" t="s">
        <v>8</v>
      </c>
      <c r="C156">
        <v>355.29680919999998</v>
      </c>
      <c r="D156" s="1">
        <v>44922</v>
      </c>
    </row>
    <row r="157" spans="1:4" x14ac:dyDescent="0.25">
      <c r="A157">
        <v>40</v>
      </c>
      <c r="B157" t="s">
        <v>4</v>
      </c>
      <c r="C157">
        <v>521.73778010000001</v>
      </c>
      <c r="D157" s="1">
        <v>44676</v>
      </c>
    </row>
    <row r="158" spans="1:4" x14ac:dyDescent="0.25">
      <c r="A158">
        <v>30</v>
      </c>
      <c r="B158" t="s">
        <v>8</v>
      </c>
      <c r="C158">
        <v>556.55723179999995</v>
      </c>
      <c r="D158" s="1">
        <v>44848</v>
      </c>
    </row>
    <row r="159" spans="1:4" x14ac:dyDescent="0.25">
      <c r="A159">
        <v>94</v>
      </c>
      <c r="B159" t="s">
        <v>10</v>
      </c>
      <c r="C159">
        <v>544.96360530000004</v>
      </c>
      <c r="D159" s="1">
        <v>44847</v>
      </c>
    </row>
    <row r="160" spans="1:4" x14ac:dyDescent="0.25">
      <c r="A160">
        <v>89</v>
      </c>
      <c r="B160" t="s">
        <v>13</v>
      </c>
      <c r="C160">
        <v>517.90372449999995</v>
      </c>
      <c r="D160" s="1">
        <v>44589</v>
      </c>
    </row>
    <row r="161" spans="1:4" x14ac:dyDescent="0.25">
      <c r="A161">
        <v>16</v>
      </c>
      <c r="B161" t="s">
        <v>5</v>
      </c>
      <c r="C161">
        <v>460.82146590000002</v>
      </c>
      <c r="D161" s="1">
        <v>44769</v>
      </c>
    </row>
    <row r="162" spans="1:4" x14ac:dyDescent="0.25">
      <c r="A162">
        <v>88</v>
      </c>
      <c r="B162" t="s">
        <v>9</v>
      </c>
      <c r="C162">
        <v>507.95162260000001</v>
      </c>
      <c r="D162" s="1">
        <v>44742</v>
      </c>
    </row>
    <row r="163" spans="1:4" x14ac:dyDescent="0.25">
      <c r="A163">
        <v>54</v>
      </c>
      <c r="B163" t="s">
        <v>13</v>
      </c>
      <c r="C163">
        <v>502.58875039999998</v>
      </c>
      <c r="D163" s="1">
        <v>44583</v>
      </c>
    </row>
    <row r="164" spans="1:4" x14ac:dyDescent="0.25">
      <c r="A164">
        <v>75</v>
      </c>
      <c r="B164" t="s">
        <v>7</v>
      </c>
      <c r="C164">
        <v>523.83440389999998</v>
      </c>
      <c r="D164" s="1">
        <v>44616</v>
      </c>
    </row>
    <row r="165" spans="1:4" x14ac:dyDescent="0.25">
      <c r="A165">
        <v>48</v>
      </c>
      <c r="B165" t="s">
        <v>10</v>
      </c>
      <c r="C165">
        <v>532.40249059999996</v>
      </c>
      <c r="D165" s="1">
        <v>44590</v>
      </c>
    </row>
    <row r="166" spans="1:4" x14ac:dyDescent="0.25">
      <c r="A166">
        <v>20</v>
      </c>
      <c r="B166" t="s">
        <v>8</v>
      </c>
      <c r="C166">
        <v>516.93495370000005</v>
      </c>
      <c r="D166" s="1">
        <v>44721</v>
      </c>
    </row>
    <row r="167" spans="1:4" x14ac:dyDescent="0.25">
      <c r="A167">
        <v>67</v>
      </c>
      <c r="B167" t="s">
        <v>5</v>
      </c>
      <c r="C167">
        <v>640.81317630000001</v>
      </c>
      <c r="D167" s="1">
        <v>44757</v>
      </c>
    </row>
    <row r="168" spans="1:4" x14ac:dyDescent="0.25">
      <c r="A168">
        <v>93</v>
      </c>
      <c r="B168" t="s">
        <v>12</v>
      </c>
      <c r="C168">
        <v>600.99180130000002</v>
      </c>
      <c r="D168" s="1">
        <v>44879</v>
      </c>
    </row>
    <row r="169" spans="1:4" x14ac:dyDescent="0.25">
      <c r="A169">
        <v>36</v>
      </c>
      <c r="B169" t="s">
        <v>4</v>
      </c>
      <c r="C169">
        <v>525.53928099999996</v>
      </c>
      <c r="D169" s="1">
        <v>44765</v>
      </c>
    </row>
    <row r="170" spans="1:4" x14ac:dyDescent="0.25">
      <c r="A170">
        <v>52</v>
      </c>
      <c r="B170" t="s">
        <v>7</v>
      </c>
      <c r="C170">
        <v>566.50898889999996</v>
      </c>
      <c r="D170" s="1">
        <v>44575</v>
      </c>
    </row>
    <row r="171" spans="1:4" x14ac:dyDescent="0.25">
      <c r="A171">
        <v>22</v>
      </c>
      <c r="B171" t="s">
        <v>9</v>
      </c>
      <c r="C171">
        <v>241.08617280000001</v>
      </c>
      <c r="D171" s="1">
        <v>44807</v>
      </c>
    </row>
    <row r="172" spans="1:4" x14ac:dyDescent="0.25">
      <c r="A172">
        <v>49</v>
      </c>
      <c r="B172" t="s">
        <v>12</v>
      </c>
      <c r="C172">
        <v>475.60830709999999</v>
      </c>
      <c r="D172" s="1">
        <v>44871</v>
      </c>
    </row>
    <row r="173" spans="1:4" x14ac:dyDescent="0.25">
      <c r="A173">
        <v>42</v>
      </c>
      <c r="B173" t="s">
        <v>10</v>
      </c>
      <c r="C173">
        <v>389.40376950000001</v>
      </c>
      <c r="D173" s="1">
        <v>44670</v>
      </c>
    </row>
    <row r="174" spans="1:4" x14ac:dyDescent="0.25">
      <c r="A174">
        <v>59</v>
      </c>
      <c r="B174" t="s">
        <v>8</v>
      </c>
      <c r="C174">
        <v>628.07373689999997</v>
      </c>
      <c r="D174" s="1">
        <v>44575</v>
      </c>
    </row>
    <row r="175" spans="1:4" x14ac:dyDescent="0.25">
      <c r="A175">
        <v>84</v>
      </c>
      <c r="B175" t="s">
        <v>7</v>
      </c>
      <c r="C175">
        <v>501.61116500000003</v>
      </c>
      <c r="D175" s="1">
        <v>44835</v>
      </c>
    </row>
    <row r="176" spans="1:4" x14ac:dyDescent="0.25">
      <c r="A176">
        <v>11</v>
      </c>
      <c r="B176" t="s">
        <v>4</v>
      </c>
      <c r="C176">
        <v>432.63695139999999</v>
      </c>
      <c r="D176" s="1">
        <v>44571</v>
      </c>
    </row>
    <row r="177" spans="1:4" x14ac:dyDescent="0.25">
      <c r="A177">
        <v>55</v>
      </c>
      <c r="B177" t="s">
        <v>11</v>
      </c>
      <c r="C177">
        <v>541.71729330000005</v>
      </c>
      <c r="D177" s="1">
        <v>44847</v>
      </c>
    </row>
    <row r="178" spans="1:4" x14ac:dyDescent="0.25">
      <c r="A178">
        <v>8</v>
      </c>
      <c r="B178" t="s">
        <v>9</v>
      </c>
      <c r="C178">
        <v>681.56825140000001</v>
      </c>
      <c r="D178" s="1">
        <v>44675</v>
      </c>
    </row>
    <row r="179" spans="1:4" x14ac:dyDescent="0.25">
      <c r="A179">
        <v>46</v>
      </c>
      <c r="B179" t="s">
        <v>8</v>
      </c>
      <c r="C179">
        <v>443.15436649999998</v>
      </c>
      <c r="D179" s="1">
        <v>44906</v>
      </c>
    </row>
    <row r="180" spans="1:4" x14ac:dyDescent="0.25">
      <c r="A180">
        <v>85</v>
      </c>
      <c r="B180" t="s">
        <v>9</v>
      </c>
      <c r="C180">
        <v>459.01255889999999</v>
      </c>
      <c r="D180" s="1">
        <v>44897</v>
      </c>
    </row>
    <row r="181" spans="1:4" x14ac:dyDescent="0.25">
      <c r="A181">
        <v>66</v>
      </c>
      <c r="B181" t="s">
        <v>4</v>
      </c>
      <c r="C181">
        <v>448.75647789999999</v>
      </c>
      <c r="D181" s="1">
        <v>44830</v>
      </c>
    </row>
    <row r="182" spans="1:4" x14ac:dyDescent="0.25">
      <c r="A182">
        <v>77</v>
      </c>
      <c r="B182" t="s">
        <v>5</v>
      </c>
      <c r="C182">
        <v>442.7757522</v>
      </c>
      <c r="D182" s="1">
        <v>44715</v>
      </c>
    </row>
    <row r="183" spans="1:4" x14ac:dyDescent="0.25">
      <c r="A183">
        <v>46</v>
      </c>
      <c r="B183" t="s">
        <v>9</v>
      </c>
      <c r="C183">
        <v>590.2827585</v>
      </c>
      <c r="D183" s="1">
        <v>44678</v>
      </c>
    </row>
    <row r="184" spans="1:4" x14ac:dyDescent="0.25">
      <c r="A184">
        <v>70</v>
      </c>
      <c r="B184" t="s">
        <v>7</v>
      </c>
      <c r="C184">
        <v>425.19880619999998</v>
      </c>
      <c r="D184" s="1">
        <v>44779</v>
      </c>
    </row>
    <row r="185" spans="1:4" x14ac:dyDescent="0.25">
      <c r="A185">
        <v>72</v>
      </c>
      <c r="B185" t="s">
        <v>13</v>
      </c>
      <c r="C185">
        <v>491.99009890000002</v>
      </c>
      <c r="D185" s="1">
        <v>44713</v>
      </c>
    </row>
    <row r="186" spans="1:4" x14ac:dyDescent="0.25">
      <c r="A186">
        <v>44</v>
      </c>
      <c r="B186" t="s">
        <v>5</v>
      </c>
      <c r="C186">
        <v>394.47184820000001</v>
      </c>
      <c r="D186" s="1">
        <v>44912</v>
      </c>
    </row>
    <row r="187" spans="1:4" x14ac:dyDescent="0.25">
      <c r="A187">
        <v>32</v>
      </c>
      <c r="B187" t="s">
        <v>11</v>
      </c>
      <c r="C187">
        <v>527.20364380000001</v>
      </c>
      <c r="D187" s="1">
        <v>44730</v>
      </c>
    </row>
    <row r="188" spans="1:4" x14ac:dyDescent="0.25">
      <c r="A188">
        <v>36</v>
      </c>
      <c r="B188" t="s">
        <v>5</v>
      </c>
      <c r="C188">
        <v>480.47181999999998</v>
      </c>
      <c r="D188" s="1">
        <v>44721</v>
      </c>
    </row>
    <row r="189" spans="1:4" x14ac:dyDescent="0.25">
      <c r="A189">
        <v>45</v>
      </c>
      <c r="B189" t="s">
        <v>13</v>
      </c>
      <c r="C189">
        <v>371.64007070000002</v>
      </c>
      <c r="D189" s="1">
        <v>44844</v>
      </c>
    </row>
    <row r="190" spans="1:4" x14ac:dyDescent="0.25">
      <c r="A190">
        <v>14</v>
      </c>
      <c r="B190" t="s">
        <v>13</v>
      </c>
      <c r="C190">
        <v>435.81590499999999</v>
      </c>
      <c r="D190" s="1">
        <v>44686</v>
      </c>
    </row>
    <row r="191" spans="1:4" x14ac:dyDescent="0.25">
      <c r="A191">
        <v>16</v>
      </c>
      <c r="B191" t="s">
        <v>12</v>
      </c>
      <c r="C191">
        <v>402.93367569999998</v>
      </c>
      <c r="D191" s="1">
        <v>44819</v>
      </c>
    </row>
    <row r="192" spans="1:4" x14ac:dyDescent="0.25">
      <c r="A192">
        <v>87</v>
      </c>
      <c r="B192" t="s">
        <v>6</v>
      </c>
      <c r="C192">
        <v>370.76538099999999</v>
      </c>
      <c r="D192" s="1">
        <v>44887</v>
      </c>
    </row>
    <row r="193" spans="1:4" x14ac:dyDescent="0.25">
      <c r="A193">
        <v>33</v>
      </c>
      <c r="B193" t="s">
        <v>7</v>
      </c>
      <c r="C193">
        <v>413.7295982</v>
      </c>
      <c r="D193" s="1">
        <v>44618</v>
      </c>
    </row>
    <row r="194" spans="1:4" x14ac:dyDescent="0.25">
      <c r="A194">
        <v>40</v>
      </c>
      <c r="B194" t="s">
        <v>5</v>
      </c>
      <c r="C194">
        <v>283.81342160000003</v>
      </c>
      <c r="D194" s="1">
        <v>44809</v>
      </c>
    </row>
    <row r="195" spans="1:4" x14ac:dyDescent="0.25">
      <c r="A195">
        <v>40</v>
      </c>
      <c r="B195" t="s">
        <v>6</v>
      </c>
      <c r="C195">
        <v>636.80769740000005</v>
      </c>
      <c r="D195" s="1">
        <v>44734</v>
      </c>
    </row>
    <row r="196" spans="1:4" x14ac:dyDescent="0.25">
      <c r="A196">
        <v>10</v>
      </c>
      <c r="B196" t="s">
        <v>8</v>
      </c>
      <c r="C196">
        <v>450.31601569999998</v>
      </c>
      <c r="D196" s="1">
        <v>44672</v>
      </c>
    </row>
    <row r="197" spans="1:4" x14ac:dyDescent="0.25">
      <c r="A197">
        <v>89</v>
      </c>
      <c r="B197" t="s">
        <v>4</v>
      </c>
      <c r="C197">
        <v>515.63744670000005</v>
      </c>
      <c r="D197" s="1">
        <v>44579</v>
      </c>
    </row>
    <row r="198" spans="1:4" x14ac:dyDescent="0.25">
      <c r="A198">
        <v>72</v>
      </c>
      <c r="B198" t="s">
        <v>8</v>
      </c>
      <c r="C198">
        <v>504.24309449999998</v>
      </c>
      <c r="D198" s="1">
        <v>44892</v>
      </c>
    </row>
    <row r="199" spans="1:4" x14ac:dyDescent="0.25">
      <c r="A199">
        <v>82</v>
      </c>
      <c r="B199" t="s">
        <v>11</v>
      </c>
      <c r="C199">
        <v>529.98288349999996</v>
      </c>
      <c r="D199" s="1">
        <v>44689</v>
      </c>
    </row>
    <row r="200" spans="1:4" x14ac:dyDescent="0.25">
      <c r="A200">
        <v>9</v>
      </c>
      <c r="B200" t="s">
        <v>8</v>
      </c>
      <c r="C200">
        <v>502.17819129999998</v>
      </c>
      <c r="D200" s="1">
        <v>44568</v>
      </c>
    </row>
    <row r="201" spans="1:4" x14ac:dyDescent="0.25">
      <c r="A201">
        <v>7</v>
      </c>
      <c r="B201" t="s">
        <v>11</v>
      </c>
      <c r="C201">
        <v>575.37559899999997</v>
      </c>
      <c r="D201" s="1">
        <v>44575</v>
      </c>
    </row>
    <row r="202" spans="1:4" x14ac:dyDescent="0.25">
      <c r="A202">
        <v>7</v>
      </c>
      <c r="B202" t="s">
        <v>10</v>
      </c>
      <c r="C202">
        <v>606.72636179999995</v>
      </c>
      <c r="D202" s="1">
        <v>44617</v>
      </c>
    </row>
    <row r="203" spans="1:4" x14ac:dyDescent="0.25">
      <c r="A203">
        <v>58</v>
      </c>
      <c r="B203" t="s">
        <v>9</v>
      </c>
      <c r="C203">
        <v>433.06036799999998</v>
      </c>
      <c r="D203" s="1">
        <v>44919</v>
      </c>
    </row>
    <row r="204" spans="1:4" x14ac:dyDescent="0.25">
      <c r="A204">
        <v>61</v>
      </c>
      <c r="B204" t="s">
        <v>5</v>
      </c>
      <c r="C204">
        <v>350.15066339999998</v>
      </c>
      <c r="D204" s="1">
        <v>44723</v>
      </c>
    </row>
    <row r="205" spans="1:4" x14ac:dyDescent="0.25">
      <c r="A205">
        <v>74</v>
      </c>
      <c r="B205" t="s">
        <v>7</v>
      </c>
      <c r="C205">
        <v>524.36687589999997</v>
      </c>
      <c r="D205" s="1">
        <v>44865</v>
      </c>
    </row>
    <row r="206" spans="1:4" x14ac:dyDescent="0.25">
      <c r="A206">
        <v>24</v>
      </c>
      <c r="B206" t="s">
        <v>9</v>
      </c>
      <c r="C206">
        <v>488.03978560000002</v>
      </c>
      <c r="D206" s="1">
        <v>44771</v>
      </c>
    </row>
    <row r="207" spans="1:4" x14ac:dyDescent="0.25">
      <c r="A207">
        <v>63</v>
      </c>
      <c r="B207" t="s">
        <v>5</v>
      </c>
      <c r="C207">
        <v>419.23971110000002</v>
      </c>
      <c r="D207" s="1">
        <v>44879</v>
      </c>
    </row>
    <row r="208" spans="1:4" x14ac:dyDescent="0.25">
      <c r="A208">
        <v>54</v>
      </c>
      <c r="B208" t="s">
        <v>7</v>
      </c>
      <c r="C208">
        <v>509.13180269999998</v>
      </c>
      <c r="D208" s="1">
        <v>44841</v>
      </c>
    </row>
    <row r="209" spans="1:4" x14ac:dyDescent="0.25">
      <c r="A209">
        <v>23</v>
      </c>
      <c r="B209" t="s">
        <v>13</v>
      </c>
      <c r="C209">
        <v>592.57609290000005</v>
      </c>
      <c r="D209" s="1">
        <v>44858</v>
      </c>
    </row>
    <row r="210" spans="1:4" x14ac:dyDescent="0.25">
      <c r="A210">
        <v>26</v>
      </c>
      <c r="B210" t="s">
        <v>11</v>
      </c>
      <c r="C210">
        <v>505.37904350000002</v>
      </c>
      <c r="D210" s="1">
        <v>44562</v>
      </c>
    </row>
    <row r="211" spans="1:4" x14ac:dyDescent="0.25">
      <c r="A211">
        <v>33</v>
      </c>
      <c r="B211" t="s">
        <v>11</v>
      </c>
      <c r="C211">
        <v>377.54311050000001</v>
      </c>
      <c r="D211" s="1">
        <v>44881</v>
      </c>
    </row>
    <row r="212" spans="1:4" x14ac:dyDescent="0.25">
      <c r="A212">
        <v>57</v>
      </c>
      <c r="B212" t="s">
        <v>6</v>
      </c>
      <c r="C212">
        <v>531.76902310000003</v>
      </c>
      <c r="D212" s="1">
        <v>44723</v>
      </c>
    </row>
    <row r="213" spans="1:4" x14ac:dyDescent="0.25">
      <c r="A213">
        <v>29</v>
      </c>
      <c r="B213" t="s">
        <v>11</v>
      </c>
      <c r="C213">
        <v>385.45520190000002</v>
      </c>
      <c r="D213" s="1">
        <v>44803</v>
      </c>
    </row>
    <row r="214" spans="1:4" x14ac:dyDescent="0.25">
      <c r="A214">
        <v>10</v>
      </c>
      <c r="B214" t="s">
        <v>12</v>
      </c>
      <c r="C214">
        <v>527.39358419999996</v>
      </c>
      <c r="D214" s="1">
        <v>44654</v>
      </c>
    </row>
    <row r="215" spans="1:4" x14ac:dyDescent="0.25">
      <c r="A215">
        <v>53</v>
      </c>
      <c r="B215" t="s">
        <v>5</v>
      </c>
      <c r="C215">
        <v>520.34911690000001</v>
      </c>
      <c r="D215" s="1">
        <v>44907</v>
      </c>
    </row>
    <row r="216" spans="1:4" x14ac:dyDescent="0.25">
      <c r="A216">
        <v>54</v>
      </c>
      <c r="B216" t="s">
        <v>4</v>
      </c>
      <c r="C216">
        <v>651.2362329</v>
      </c>
      <c r="D216" s="1">
        <v>44727</v>
      </c>
    </row>
    <row r="217" spans="1:4" x14ac:dyDescent="0.25">
      <c r="A217">
        <v>77</v>
      </c>
      <c r="B217" t="s">
        <v>6</v>
      </c>
      <c r="C217">
        <v>480.97927320000002</v>
      </c>
      <c r="D217" s="1">
        <v>44706</v>
      </c>
    </row>
    <row r="218" spans="1:4" x14ac:dyDescent="0.25">
      <c r="A218">
        <v>11</v>
      </c>
      <c r="B218" t="s">
        <v>12</v>
      </c>
      <c r="C218">
        <v>573.39820090000001</v>
      </c>
      <c r="D218" s="1">
        <v>44915</v>
      </c>
    </row>
    <row r="219" spans="1:4" x14ac:dyDescent="0.25">
      <c r="A219">
        <v>25</v>
      </c>
      <c r="B219" t="s">
        <v>8</v>
      </c>
      <c r="C219">
        <v>588.54386869999996</v>
      </c>
      <c r="D219" s="1">
        <v>44819</v>
      </c>
    </row>
    <row r="220" spans="1:4" x14ac:dyDescent="0.25">
      <c r="A220">
        <v>52</v>
      </c>
      <c r="B220" t="s">
        <v>10</v>
      </c>
      <c r="C220">
        <v>479.12893029999998</v>
      </c>
      <c r="D220" s="1">
        <v>44919</v>
      </c>
    </row>
    <row r="221" spans="1:4" x14ac:dyDescent="0.25">
      <c r="A221">
        <v>26</v>
      </c>
      <c r="B221" t="s">
        <v>13</v>
      </c>
      <c r="C221">
        <v>353.06996659999999</v>
      </c>
      <c r="D221" s="1">
        <v>44657</v>
      </c>
    </row>
    <row r="222" spans="1:4" x14ac:dyDescent="0.25">
      <c r="A222">
        <v>7</v>
      </c>
      <c r="B222" t="s">
        <v>6</v>
      </c>
      <c r="C222">
        <v>496.46603970000001</v>
      </c>
      <c r="D222" s="1">
        <v>44831</v>
      </c>
    </row>
    <row r="223" spans="1:4" x14ac:dyDescent="0.25">
      <c r="A223">
        <v>25</v>
      </c>
      <c r="B223" t="s">
        <v>11</v>
      </c>
      <c r="C223">
        <v>529.99014480000005</v>
      </c>
      <c r="D223" s="1">
        <v>44812</v>
      </c>
    </row>
    <row r="224" spans="1:4" x14ac:dyDescent="0.25">
      <c r="A224">
        <v>87</v>
      </c>
      <c r="B224" t="s">
        <v>13</v>
      </c>
      <c r="C224">
        <v>539.16371160000006</v>
      </c>
      <c r="D224" s="1">
        <v>44811</v>
      </c>
    </row>
    <row r="225" spans="1:4" x14ac:dyDescent="0.25">
      <c r="A225">
        <v>90</v>
      </c>
      <c r="B225" t="s">
        <v>13</v>
      </c>
      <c r="C225">
        <v>517.40299340000001</v>
      </c>
      <c r="D225" s="1">
        <v>44746</v>
      </c>
    </row>
    <row r="226" spans="1:4" x14ac:dyDescent="0.25">
      <c r="A226">
        <v>32</v>
      </c>
      <c r="B226" t="s">
        <v>12</v>
      </c>
      <c r="C226">
        <v>478.80422110000001</v>
      </c>
      <c r="D226" s="1">
        <v>44661</v>
      </c>
    </row>
    <row r="227" spans="1:4" x14ac:dyDescent="0.25">
      <c r="A227">
        <v>84</v>
      </c>
      <c r="B227" t="s">
        <v>11</v>
      </c>
      <c r="C227">
        <v>609.0602983</v>
      </c>
      <c r="D227" s="1">
        <v>44837</v>
      </c>
    </row>
    <row r="228" spans="1:4" x14ac:dyDescent="0.25">
      <c r="A228">
        <v>24</v>
      </c>
      <c r="B228" t="s">
        <v>5</v>
      </c>
      <c r="C228">
        <v>496.97618829999999</v>
      </c>
      <c r="D228" s="1">
        <v>44894</v>
      </c>
    </row>
    <row r="229" spans="1:4" x14ac:dyDescent="0.25">
      <c r="A229">
        <v>57</v>
      </c>
      <c r="B229" t="s">
        <v>4</v>
      </c>
      <c r="C229">
        <v>490.91926899999999</v>
      </c>
      <c r="D229" s="1">
        <v>44864</v>
      </c>
    </row>
    <row r="230" spans="1:4" x14ac:dyDescent="0.25">
      <c r="A230">
        <v>73</v>
      </c>
      <c r="B230" t="s">
        <v>11</v>
      </c>
      <c r="C230">
        <v>545.72555069999999</v>
      </c>
      <c r="D230" s="1">
        <v>44732</v>
      </c>
    </row>
    <row r="231" spans="1:4" x14ac:dyDescent="0.25">
      <c r="A231">
        <v>23</v>
      </c>
      <c r="B231" t="s">
        <v>4</v>
      </c>
      <c r="C231">
        <v>539.26044119999995</v>
      </c>
      <c r="D231" s="1">
        <v>44600</v>
      </c>
    </row>
    <row r="232" spans="1:4" x14ac:dyDescent="0.25">
      <c r="A232">
        <v>14</v>
      </c>
      <c r="B232" t="s">
        <v>12</v>
      </c>
      <c r="C232">
        <v>675.97103900000002</v>
      </c>
      <c r="D232" s="1">
        <v>44781</v>
      </c>
    </row>
    <row r="233" spans="1:4" x14ac:dyDescent="0.25">
      <c r="A233">
        <v>6</v>
      </c>
      <c r="B233" t="s">
        <v>4</v>
      </c>
      <c r="C233">
        <v>629.39956949999998</v>
      </c>
      <c r="D233" s="1">
        <v>44876</v>
      </c>
    </row>
    <row r="234" spans="1:4" x14ac:dyDescent="0.25">
      <c r="A234">
        <v>91</v>
      </c>
      <c r="B234" t="s">
        <v>9</v>
      </c>
      <c r="C234">
        <v>598.25876219999998</v>
      </c>
      <c r="D234" s="1">
        <v>44839</v>
      </c>
    </row>
    <row r="235" spans="1:4" x14ac:dyDescent="0.25">
      <c r="A235">
        <v>1</v>
      </c>
      <c r="B235" t="s">
        <v>12</v>
      </c>
      <c r="C235">
        <v>526.22014530000001</v>
      </c>
      <c r="D235" s="1">
        <v>44861</v>
      </c>
    </row>
    <row r="236" spans="1:4" x14ac:dyDescent="0.25">
      <c r="A236">
        <v>90</v>
      </c>
      <c r="B236" t="s">
        <v>6</v>
      </c>
      <c r="C236">
        <v>436.57983639999998</v>
      </c>
      <c r="D236" s="1">
        <v>44746</v>
      </c>
    </row>
    <row r="237" spans="1:4" x14ac:dyDescent="0.25">
      <c r="A237">
        <v>58</v>
      </c>
      <c r="B237" t="s">
        <v>7</v>
      </c>
      <c r="C237">
        <v>391.19538110000002</v>
      </c>
      <c r="D237" s="1">
        <v>44788</v>
      </c>
    </row>
    <row r="238" spans="1:4" x14ac:dyDescent="0.25">
      <c r="A238">
        <v>81</v>
      </c>
      <c r="B238" t="s">
        <v>6</v>
      </c>
      <c r="C238">
        <v>406.6983879</v>
      </c>
      <c r="D238" s="1">
        <v>44642</v>
      </c>
    </row>
    <row r="239" spans="1:4" x14ac:dyDescent="0.25">
      <c r="A239">
        <v>29</v>
      </c>
      <c r="B239" t="s">
        <v>6</v>
      </c>
      <c r="C239">
        <v>413.68541499999998</v>
      </c>
      <c r="D239" s="1">
        <v>44887</v>
      </c>
    </row>
    <row r="240" spans="1:4" x14ac:dyDescent="0.25">
      <c r="A240">
        <v>26</v>
      </c>
      <c r="B240" t="s">
        <v>13</v>
      </c>
      <c r="C240">
        <v>550.23822040000005</v>
      </c>
      <c r="D240" s="1">
        <v>44723</v>
      </c>
    </row>
    <row r="241" spans="1:4" x14ac:dyDescent="0.25">
      <c r="A241">
        <v>27</v>
      </c>
      <c r="B241" t="s">
        <v>8</v>
      </c>
      <c r="C241">
        <v>443.52049549999998</v>
      </c>
      <c r="D241" s="1">
        <v>44622</v>
      </c>
    </row>
    <row r="242" spans="1:4" x14ac:dyDescent="0.25">
      <c r="A242">
        <v>85</v>
      </c>
      <c r="B242" t="s">
        <v>6</v>
      </c>
      <c r="C242">
        <v>482.3508501</v>
      </c>
      <c r="D242" s="1">
        <v>44816</v>
      </c>
    </row>
    <row r="243" spans="1:4" x14ac:dyDescent="0.25">
      <c r="A243">
        <v>7</v>
      </c>
      <c r="B243" t="s">
        <v>6</v>
      </c>
      <c r="C243">
        <v>632.14031769999997</v>
      </c>
      <c r="D243" s="1">
        <v>44727</v>
      </c>
    </row>
    <row r="244" spans="1:4" x14ac:dyDescent="0.25">
      <c r="A244">
        <v>60</v>
      </c>
      <c r="B244" t="s">
        <v>13</v>
      </c>
      <c r="C244">
        <v>527.2568076</v>
      </c>
      <c r="D244" s="1">
        <v>44639</v>
      </c>
    </row>
    <row r="245" spans="1:4" x14ac:dyDescent="0.25">
      <c r="A245">
        <v>26</v>
      </c>
      <c r="B245" t="s">
        <v>12</v>
      </c>
      <c r="C245">
        <v>501.10562160000001</v>
      </c>
      <c r="D245" s="1">
        <v>44697</v>
      </c>
    </row>
    <row r="246" spans="1:4" x14ac:dyDescent="0.25">
      <c r="A246">
        <v>41</v>
      </c>
      <c r="B246" t="s">
        <v>4</v>
      </c>
      <c r="C246">
        <v>421.94537270000001</v>
      </c>
      <c r="D246" s="1">
        <v>44596</v>
      </c>
    </row>
    <row r="247" spans="1:4" x14ac:dyDescent="0.25">
      <c r="A247">
        <v>84</v>
      </c>
      <c r="B247" t="s">
        <v>6</v>
      </c>
      <c r="C247">
        <v>429.88994170000001</v>
      </c>
      <c r="D247" s="1">
        <v>44729</v>
      </c>
    </row>
    <row r="248" spans="1:4" x14ac:dyDescent="0.25">
      <c r="A248">
        <v>6</v>
      </c>
      <c r="B248" t="s">
        <v>9</v>
      </c>
      <c r="C248">
        <v>424.06351330000001</v>
      </c>
      <c r="D248" s="1">
        <v>44633</v>
      </c>
    </row>
    <row r="249" spans="1:4" x14ac:dyDescent="0.25">
      <c r="A249">
        <v>94</v>
      </c>
      <c r="B249" t="s">
        <v>10</v>
      </c>
      <c r="C249">
        <v>482.97400959999999</v>
      </c>
      <c r="D249" s="1">
        <v>44695</v>
      </c>
    </row>
    <row r="250" spans="1:4" x14ac:dyDescent="0.25">
      <c r="A250">
        <v>31</v>
      </c>
      <c r="B250" t="s">
        <v>13</v>
      </c>
      <c r="C250">
        <v>434.37141539999999</v>
      </c>
      <c r="D250" s="1">
        <v>44715</v>
      </c>
    </row>
    <row r="251" spans="1:4" x14ac:dyDescent="0.25">
      <c r="A251">
        <v>93</v>
      </c>
      <c r="B251" t="s">
        <v>11</v>
      </c>
      <c r="C251">
        <v>515.75442339999995</v>
      </c>
      <c r="D251" s="1">
        <v>44741</v>
      </c>
    </row>
    <row r="252" spans="1:4" x14ac:dyDescent="0.25">
      <c r="A252">
        <v>17</v>
      </c>
      <c r="B252" t="s">
        <v>8</v>
      </c>
      <c r="C252">
        <v>609.34147599999994</v>
      </c>
      <c r="D252" s="1">
        <v>44565</v>
      </c>
    </row>
    <row r="253" spans="1:4" x14ac:dyDescent="0.25">
      <c r="A253">
        <v>64</v>
      </c>
      <c r="B253" t="s">
        <v>6</v>
      </c>
      <c r="C253">
        <v>530.10424309999996</v>
      </c>
      <c r="D253" s="1">
        <v>44572</v>
      </c>
    </row>
    <row r="254" spans="1:4" x14ac:dyDescent="0.25">
      <c r="A254">
        <v>37</v>
      </c>
      <c r="B254" t="s">
        <v>6</v>
      </c>
      <c r="C254">
        <v>444.15106120000002</v>
      </c>
      <c r="D254" s="1">
        <v>44709</v>
      </c>
    </row>
    <row r="255" spans="1:4" x14ac:dyDescent="0.25">
      <c r="A255">
        <v>57</v>
      </c>
      <c r="B255" t="s">
        <v>4</v>
      </c>
      <c r="C255">
        <v>392.46241240000001</v>
      </c>
      <c r="D255" s="1">
        <v>44713</v>
      </c>
    </row>
    <row r="256" spans="1:4" x14ac:dyDescent="0.25">
      <c r="A256">
        <v>20</v>
      </c>
      <c r="B256" t="s">
        <v>10</v>
      </c>
      <c r="C256">
        <v>520.07873719999998</v>
      </c>
      <c r="D256" s="1">
        <v>44904</v>
      </c>
    </row>
    <row r="257" spans="1:4" x14ac:dyDescent="0.25">
      <c r="A257">
        <v>35</v>
      </c>
      <c r="B257" t="s">
        <v>8</v>
      </c>
      <c r="C257">
        <v>508.40202849999997</v>
      </c>
      <c r="D257" s="1">
        <v>44683</v>
      </c>
    </row>
    <row r="258" spans="1:4" x14ac:dyDescent="0.25">
      <c r="A258">
        <v>89</v>
      </c>
      <c r="B258" t="s">
        <v>9</v>
      </c>
      <c r="C258">
        <v>407.36013000000003</v>
      </c>
      <c r="D258" s="1">
        <v>44565</v>
      </c>
    </row>
    <row r="259" spans="1:4" x14ac:dyDescent="0.25">
      <c r="A259">
        <v>33</v>
      </c>
      <c r="B259" t="s">
        <v>10</v>
      </c>
      <c r="C259">
        <v>538.67007109999997</v>
      </c>
      <c r="D259" s="1">
        <v>44802</v>
      </c>
    </row>
    <row r="260" spans="1:4" x14ac:dyDescent="0.25">
      <c r="A260">
        <v>66</v>
      </c>
      <c r="B260" t="s">
        <v>5</v>
      </c>
      <c r="C260">
        <v>566.0417893</v>
      </c>
      <c r="D260" s="1">
        <v>44693</v>
      </c>
    </row>
    <row r="261" spans="1:4" x14ac:dyDescent="0.25">
      <c r="A261">
        <v>4</v>
      </c>
      <c r="B261" t="s">
        <v>10</v>
      </c>
      <c r="C261">
        <v>472.39119690000001</v>
      </c>
      <c r="D261" s="1">
        <v>44881</v>
      </c>
    </row>
    <row r="262" spans="1:4" x14ac:dyDescent="0.25">
      <c r="A262">
        <v>74</v>
      </c>
      <c r="B262" t="s">
        <v>11</v>
      </c>
      <c r="C262">
        <v>531.28221410000003</v>
      </c>
      <c r="D262" s="1">
        <v>44916</v>
      </c>
    </row>
    <row r="263" spans="1:4" x14ac:dyDescent="0.25">
      <c r="A263">
        <v>97</v>
      </c>
      <c r="B263" t="s">
        <v>6</v>
      </c>
      <c r="C263">
        <v>431.42504819999999</v>
      </c>
      <c r="D263" s="1">
        <v>44576</v>
      </c>
    </row>
    <row r="264" spans="1:4" x14ac:dyDescent="0.25">
      <c r="A264">
        <v>5</v>
      </c>
      <c r="B264" t="s">
        <v>5</v>
      </c>
      <c r="C264">
        <v>726.82044570000005</v>
      </c>
      <c r="D264" s="1">
        <v>44897</v>
      </c>
    </row>
    <row r="265" spans="1:4" x14ac:dyDescent="0.25">
      <c r="A265">
        <v>25</v>
      </c>
      <c r="B265" t="s">
        <v>4</v>
      </c>
      <c r="C265">
        <v>330.78394750000001</v>
      </c>
      <c r="D265" s="1">
        <v>44899</v>
      </c>
    </row>
    <row r="266" spans="1:4" x14ac:dyDescent="0.25">
      <c r="A266">
        <v>8</v>
      </c>
      <c r="B266" t="s">
        <v>4</v>
      </c>
      <c r="C266">
        <v>558.78375140000003</v>
      </c>
      <c r="D266" s="1">
        <v>44805</v>
      </c>
    </row>
    <row r="267" spans="1:4" x14ac:dyDescent="0.25">
      <c r="A267">
        <v>55</v>
      </c>
      <c r="B267" t="s">
        <v>6</v>
      </c>
      <c r="C267">
        <v>506.6407858</v>
      </c>
      <c r="D267" s="1">
        <v>44572</v>
      </c>
    </row>
    <row r="268" spans="1:4" x14ac:dyDescent="0.25">
      <c r="A268">
        <v>89</v>
      </c>
      <c r="B268" t="s">
        <v>13</v>
      </c>
      <c r="C268">
        <v>359.5343876</v>
      </c>
      <c r="D268" s="1">
        <v>44618</v>
      </c>
    </row>
    <row r="269" spans="1:4" x14ac:dyDescent="0.25">
      <c r="A269">
        <v>85</v>
      </c>
      <c r="B269" t="s">
        <v>13</v>
      </c>
      <c r="C269">
        <v>465.72024649999997</v>
      </c>
      <c r="D269" s="1">
        <v>44722</v>
      </c>
    </row>
    <row r="270" spans="1:4" x14ac:dyDescent="0.25">
      <c r="A270">
        <v>45</v>
      </c>
      <c r="B270" t="s">
        <v>7</v>
      </c>
      <c r="C270">
        <v>428.67429820000001</v>
      </c>
      <c r="D270" s="1">
        <v>44702</v>
      </c>
    </row>
    <row r="271" spans="1:4" x14ac:dyDescent="0.25">
      <c r="A271">
        <v>18</v>
      </c>
      <c r="B271" t="s">
        <v>5</v>
      </c>
      <c r="C271">
        <v>450.37894260000002</v>
      </c>
      <c r="D271" s="1">
        <v>44562</v>
      </c>
    </row>
    <row r="272" spans="1:4" x14ac:dyDescent="0.25">
      <c r="A272">
        <v>42</v>
      </c>
      <c r="B272" t="s">
        <v>12</v>
      </c>
      <c r="C272">
        <v>432.83787439999998</v>
      </c>
      <c r="D272" s="1">
        <v>44752</v>
      </c>
    </row>
    <row r="273" spans="1:4" x14ac:dyDescent="0.25">
      <c r="A273">
        <v>31</v>
      </c>
      <c r="B273" t="s">
        <v>9</v>
      </c>
      <c r="C273">
        <v>466.84505419999999</v>
      </c>
      <c r="D273" s="1">
        <v>44677</v>
      </c>
    </row>
    <row r="274" spans="1:4" x14ac:dyDescent="0.25">
      <c r="A274">
        <v>6</v>
      </c>
      <c r="B274" t="s">
        <v>8</v>
      </c>
      <c r="C274">
        <v>517.12761149999994</v>
      </c>
      <c r="D274" s="1">
        <v>44625</v>
      </c>
    </row>
    <row r="275" spans="1:4" x14ac:dyDescent="0.25">
      <c r="A275">
        <v>71</v>
      </c>
      <c r="B275" t="s">
        <v>9</v>
      </c>
      <c r="C275">
        <v>402.06076789999997</v>
      </c>
      <c r="D275" s="1">
        <v>44811</v>
      </c>
    </row>
    <row r="276" spans="1:4" x14ac:dyDescent="0.25">
      <c r="A276">
        <v>61</v>
      </c>
      <c r="B276" t="s">
        <v>7</v>
      </c>
      <c r="C276">
        <v>532.09940700000004</v>
      </c>
      <c r="D276" s="1">
        <v>44852</v>
      </c>
    </row>
    <row r="277" spans="1:4" x14ac:dyDescent="0.25">
      <c r="A277">
        <v>48</v>
      </c>
      <c r="B277" t="s">
        <v>9</v>
      </c>
      <c r="C277">
        <v>408.8128845</v>
      </c>
      <c r="D277" s="1">
        <v>44581</v>
      </c>
    </row>
    <row r="278" spans="1:4" x14ac:dyDescent="0.25">
      <c r="A278">
        <v>17</v>
      </c>
      <c r="B278" t="s">
        <v>10</v>
      </c>
      <c r="C278">
        <v>632.08654279999996</v>
      </c>
      <c r="D278" s="1">
        <v>44893</v>
      </c>
    </row>
    <row r="279" spans="1:4" x14ac:dyDescent="0.25">
      <c r="A279">
        <v>45</v>
      </c>
      <c r="B279" t="s">
        <v>7</v>
      </c>
      <c r="C279">
        <v>485.53014469999999</v>
      </c>
      <c r="D279" s="1">
        <v>44897</v>
      </c>
    </row>
    <row r="280" spans="1:4" x14ac:dyDescent="0.25">
      <c r="A280">
        <v>92</v>
      </c>
      <c r="B280" t="s">
        <v>11</v>
      </c>
      <c r="C280">
        <v>402.8995486</v>
      </c>
      <c r="D280" s="1">
        <v>44904</v>
      </c>
    </row>
    <row r="281" spans="1:4" x14ac:dyDescent="0.25">
      <c r="A281">
        <v>63</v>
      </c>
      <c r="B281" t="s">
        <v>6</v>
      </c>
      <c r="C281">
        <v>473.59292010000001</v>
      </c>
      <c r="D281" s="1">
        <v>44629</v>
      </c>
    </row>
    <row r="282" spans="1:4" x14ac:dyDescent="0.25">
      <c r="A282">
        <v>53</v>
      </c>
      <c r="B282" t="s">
        <v>13</v>
      </c>
      <c r="C282">
        <v>573.83104519999995</v>
      </c>
      <c r="D282" s="1">
        <v>44644</v>
      </c>
    </row>
    <row r="283" spans="1:4" x14ac:dyDescent="0.25">
      <c r="A283">
        <v>53</v>
      </c>
      <c r="B283" t="s">
        <v>8</v>
      </c>
      <c r="C283">
        <v>533.23746149999999</v>
      </c>
      <c r="D283" s="1">
        <v>44880</v>
      </c>
    </row>
    <row r="284" spans="1:4" x14ac:dyDescent="0.25">
      <c r="A284">
        <v>63</v>
      </c>
      <c r="B284" t="s">
        <v>6</v>
      </c>
      <c r="C284">
        <v>465.59138589999998</v>
      </c>
      <c r="D284" s="1">
        <v>44852</v>
      </c>
    </row>
    <row r="285" spans="1:4" x14ac:dyDescent="0.25">
      <c r="A285">
        <v>71</v>
      </c>
      <c r="B285" t="s">
        <v>5</v>
      </c>
      <c r="C285">
        <v>670.55927469999995</v>
      </c>
      <c r="D285" s="1">
        <v>44595</v>
      </c>
    </row>
    <row r="286" spans="1:4" x14ac:dyDescent="0.25">
      <c r="A286">
        <v>84</v>
      </c>
      <c r="B286" t="s">
        <v>8</v>
      </c>
      <c r="C286">
        <v>530.6699036</v>
      </c>
      <c r="D286" s="1">
        <v>44901</v>
      </c>
    </row>
    <row r="287" spans="1:4" x14ac:dyDescent="0.25">
      <c r="A287">
        <v>82</v>
      </c>
      <c r="B287" t="s">
        <v>10</v>
      </c>
      <c r="C287">
        <v>476.6193806</v>
      </c>
      <c r="D287" s="1">
        <v>44715</v>
      </c>
    </row>
    <row r="288" spans="1:4" x14ac:dyDescent="0.25">
      <c r="A288">
        <v>93</v>
      </c>
      <c r="B288" t="s">
        <v>6</v>
      </c>
      <c r="C288">
        <v>442.76241659999999</v>
      </c>
      <c r="D288" s="1">
        <v>44731</v>
      </c>
    </row>
    <row r="289" spans="1:4" x14ac:dyDescent="0.25">
      <c r="A289">
        <v>17</v>
      </c>
      <c r="B289" t="s">
        <v>5</v>
      </c>
      <c r="C289">
        <v>618.80789070000003</v>
      </c>
      <c r="D289" s="1">
        <v>44874</v>
      </c>
    </row>
    <row r="290" spans="1:4" x14ac:dyDescent="0.25">
      <c r="A290">
        <v>97</v>
      </c>
      <c r="B290" t="s">
        <v>13</v>
      </c>
      <c r="C290">
        <v>554.82109009999999</v>
      </c>
      <c r="D290" s="1">
        <v>44566</v>
      </c>
    </row>
    <row r="291" spans="1:4" x14ac:dyDescent="0.25">
      <c r="A291">
        <v>2</v>
      </c>
      <c r="B291" t="s">
        <v>11</v>
      </c>
      <c r="C291">
        <v>347.77698179999999</v>
      </c>
      <c r="D291" s="1">
        <v>44583</v>
      </c>
    </row>
    <row r="292" spans="1:4" x14ac:dyDescent="0.25">
      <c r="A292">
        <v>49</v>
      </c>
      <c r="B292" t="s">
        <v>8</v>
      </c>
      <c r="C292">
        <v>602.86772580000002</v>
      </c>
      <c r="D292" s="1">
        <v>44565</v>
      </c>
    </row>
    <row r="293" spans="1:4" x14ac:dyDescent="0.25">
      <c r="A293">
        <v>2</v>
      </c>
      <c r="B293" t="s">
        <v>4</v>
      </c>
      <c r="C293">
        <v>578.91937040000005</v>
      </c>
      <c r="D293" s="1">
        <v>44913</v>
      </c>
    </row>
    <row r="294" spans="1:4" x14ac:dyDescent="0.25">
      <c r="A294">
        <v>13</v>
      </c>
      <c r="B294" t="s">
        <v>5</v>
      </c>
      <c r="C294">
        <v>534.09375939999995</v>
      </c>
      <c r="D294" s="1">
        <v>44692</v>
      </c>
    </row>
    <row r="295" spans="1:4" x14ac:dyDescent="0.25">
      <c r="A295">
        <v>24</v>
      </c>
      <c r="B295" t="s">
        <v>7</v>
      </c>
      <c r="C295">
        <v>350.56333169999999</v>
      </c>
      <c r="D295" s="1">
        <v>44792</v>
      </c>
    </row>
    <row r="296" spans="1:4" x14ac:dyDescent="0.25">
      <c r="A296">
        <v>49</v>
      </c>
      <c r="B296" t="s">
        <v>9</v>
      </c>
      <c r="C296">
        <v>477.44564070000001</v>
      </c>
      <c r="D296" s="1">
        <v>44640</v>
      </c>
    </row>
    <row r="297" spans="1:4" x14ac:dyDescent="0.25">
      <c r="A297">
        <v>67</v>
      </c>
      <c r="B297" t="s">
        <v>13</v>
      </c>
      <c r="C297">
        <v>469.22629760000001</v>
      </c>
      <c r="D297" s="1">
        <v>44778</v>
      </c>
    </row>
    <row r="298" spans="1:4" x14ac:dyDescent="0.25">
      <c r="A298">
        <v>82</v>
      </c>
      <c r="B298" t="s">
        <v>4</v>
      </c>
      <c r="C298">
        <v>517.76670820000004</v>
      </c>
      <c r="D298" s="1">
        <v>44649</v>
      </c>
    </row>
    <row r="299" spans="1:4" x14ac:dyDescent="0.25">
      <c r="A299">
        <v>2</v>
      </c>
      <c r="B299" t="s">
        <v>5</v>
      </c>
      <c r="C299">
        <v>277.43365779999999</v>
      </c>
      <c r="D299" s="1">
        <v>44807</v>
      </c>
    </row>
    <row r="300" spans="1:4" x14ac:dyDescent="0.25">
      <c r="A300">
        <v>37</v>
      </c>
      <c r="B300" t="s">
        <v>10</v>
      </c>
      <c r="C300">
        <v>597.47409519999997</v>
      </c>
      <c r="D300" s="1">
        <v>44787</v>
      </c>
    </row>
    <row r="301" spans="1:4" x14ac:dyDescent="0.25">
      <c r="A301">
        <v>63</v>
      </c>
      <c r="B301" t="s">
        <v>13</v>
      </c>
      <c r="C301">
        <v>343.20861059999999</v>
      </c>
      <c r="D301" s="1">
        <v>44732</v>
      </c>
    </row>
    <row r="302" spans="1:4" x14ac:dyDescent="0.25">
      <c r="A302">
        <v>76</v>
      </c>
      <c r="B302" t="s">
        <v>12</v>
      </c>
      <c r="C302">
        <v>470.98651649999999</v>
      </c>
      <c r="D302" s="1">
        <v>44601</v>
      </c>
    </row>
    <row r="303" spans="1:4" x14ac:dyDescent="0.25">
      <c r="A303">
        <v>13</v>
      </c>
      <c r="B303" t="s">
        <v>13</v>
      </c>
      <c r="C303">
        <v>391.43375309999999</v>
      </c>
      <c r="D303" s="1">
        <v>44805</v>
      </c>
    </row>
    <row r="304" spans="1:4" x14ac:dyDescent="0.25">
      <c r="A304">
        <v>42</v>
      </c>
      <c r="B304" t="s">
        <v>13</v>
      </c>
      <c r="C304">
        <v>451.28072889999999</v>
      </c>
      <c r="D304" s="1">
        <v>44595</v>
      </c>
    </row>
    <row r="305" spans="1:4" x14ac:dyDescent="0.25">
      <c r="A305">
        <v>61</v>
      </c>
      <c r="B305" t="s">
        <v>5</v>
      </c>
      <c r="C305">
        <v>411.72272190000001</v>
      </c>
      <c r="D305" s="1">
        <v>44867</v>
      </c>
    </row>
    <row r="306" spans="1:4" x14ac:dyDescent="0.25">
      <c r="A306">
        <v>70</v>
      </c>
      <c r="B306" t="s">
        <v>12</v>
      </c>
      <c r="C306">
        <v>518.6851868</v>
      </c>
      <c r="D306" s="1">
        <v>44708</v>
      </c>
    </row>
    <row r="307" spans="1:4" x14ac:dyDescent="0.25">
      <c r="A307">
        <v>38</v>
      </c>
      <c r="B307" t="s">
        <v>12</v>
      </c>
      <c r="C307">
        <v>483.63609489999999</v>
      </c>
      <c r="D307" s="1">
        <v>44607</v>
      </c>
    </row>
    <row r="308" spans="1:4" x14ac:dyDescent="0.25">
      <c r="A308">
        <v>64</v>
      </c>
      <c r="B308" t="s">
        <v>11</v>
      </c>
      <c r="C308">
        <v>491.16944189999998</v>
      </c>
      <c r="D308" s="1">
        <v>44731</v>
      </c>
    </row>
    <row r="309" spans="1:4" x14ac:dyDescent="0.25">
      <c r="A309">
        <v>80</v>
      </c>
      <c r="B309" t="s">
        <v>11</v>
      </c>
      <c r="C309">
        <v>563.59174589999998</v>
      </c>
      <c r="D309" s="1">
        <v>44564</v>
      </c>
    </row>
    <row r="310" spans="1:4" x14ac:dyDescent="0.25">
      <c r="A310">
        <v>99</v>
      </c>
      <c r="B310" t="s">
        <v>13</v>
      </c>
      <c r="C310">
        <v>599.61376099999995</v>
      </c>
      <c r="D310" s="1">
        <v>44691</v>
      </c>
    </row>
    <row r="311" spans="1:4" x14ac:dyDescent="0.25">
      <c r="A311">
        <v>36</v>
      </c>
      <c r="B311" t="s">
        <v>6</v>
      </c>
      <c r="C311">
        <v>608.67298000000005</v>
      </c>
      <c r="D311" s="1">
        <v>44599</v>
      </c>
    </row>
    <row r="312" spans="1:4" x14ac:dyDescent="0.25">
      <c r="A312">
        <v>91</v>
      </c>
      <c r="B312" t="s">
        <v>7</v>
      </c>
      <c r="C312">
        <v>547.68876150000006</v>
      </c>
      <c r="D312" s="1">
        <v>44742</v>
      </c>
    </row>
    <row r="313" spans="1:4" x14ac:dyDescent="0.25">
      <c r="A313">
        <v>91</v>
      </c>
      <c r="B313" t="s">
        <v>7</v>
      </c>
      <c r="C313">
        <v>475.3184574</v>
      </c>
      <c r="D313" s="1">
        <v>44892</v>
      </c>
    </row>
    <row r="314" spans="1:4" x14ac:dyDescent="0.25">
      <c r="A314">
        <v>35</v>
      </c>
      <c r="B314" t="s">
        <v>10</v>
      </c>
      <c r="C314">
        <v>412.0649128</v>
      </c>
      <c r="D314" s="1">
        <v>44688</v>
      </c>
    </row>
    <row r="315" spans="1:4" x14ac:dyDescent="0.25">
      <c r="A315">
        <v>87</v>
      </c>
      <c r="B315" t="s">
        <v>7</v>
      </c>
      <c r="C315">
        <v>382.52348590000003</v>
      </c>
      <c r="D315" s="1">
        <v>44765</v>
      </c>
    </row>
    <row r="316" spans="1:4" x14ac:dyDescent="0.25">
      <c r="A316">
        <v>67</v>
      </c>
      <c r="B316" t="s">
        <v>7</v>
      </c>
      <c r="C316">
        <v>631.35306330000003</v>
      </c>
      <c r="D316" s="1">
        <v>44591</v>
      </c>
    </row>
    <row r="317" spans="1:4" x14ac:dyDescent="0.25">
      <c r="A317">
        <v>95</v>
      </c>
      <c r="B317" t="s">
        <v>13</v>
      </c>
      <c r="C317">
        <v>510.16349559999998</v>
      </c>
      <c r="D317" s="1">
        <v>44830</v>
      </c>
    </row>
    <row r="318" spans="1:4" x14ac:dyDescent="0.25">
      <c r="A318">
        <v>48</v>
      </c>
      <c r="B318" t="s">
        <v>4</v>
      </c>
      <c r="C318">
        <v>691.77559759999997</v>
      </c>
      <c r="D318" s="1">
        <v>44636</v>
      </c>
    </row>
    <row r="319" spans="1:4" x14ac:dyDescent="0.25">
      <c r="A319">
        <v>66</v>
      </c>
      <c r="B319" t="s">
        <v>8</v>
      </c>
      <c r="C319">
        <v>577.20552580000003</v>
      </c>
      <c r="D319" s="1">
        <v>44894</v>
      </c>
    </row>
    <row r="320" spans="1:4" x14ac:dyDescent="0.25">
      <c r="A320">
        <v>23</v>
      </c>
      <c r="B320" t="s">
        <v>5</v>
      </c>
      <c r="C320">
        <v>560.81793719999996</v>
      </c>
      <c r="D320" s="1">
        <v>44774</v>
      </c>
    </row>
    <row r="321" spans="1:4" x14ac:dyDescent="0.25">
      <c r="A321">
        <v>67</v>
      </c>
      <c r="B321" t="s">
        <v>8</v>
      </c>
      <c r="C321">
        <v>485.019136</v>
      </c>
      <c r="D321" s="1">
        <v>44827</v>
      </c>
    </row>
    <row r="322" spans="1:4" x14ac:dyDescent="0.25">
      <c r="A322">
        <v>9</v>
      </c>
      <c r="B322" t="s">
        <v>10</v>
      </c>
      <c r="C322">
        <v>590.29537849999997</v>
      </c>
      <c r="D322" s="1">
        <v>44705</v>
      </c>
    </row>
    <row r="323" spans="1:4" x14ac:dyDescent="0.25">
      <c r="A323">
        <v>61</v>
      </c>
      <c r="B323" t="s">
        <v>8</v>
      </c>
      <c r="C323">
        <v>600.6861854</v>
      </c>
      <c r="D323" s="1">
        <v>44798</v>
      </c>
    </row>
    <row r="324" spans="1:4" x14ac:dyDescent="0.25">
      <c r="A324">
        <v>39</v>
      </c>
      <c r="B324" t="s">
        <v>5</v>
      </c>
      <c r="C324">
        <v>289.55411229999999</v>
      </c>
      <c r="D324" s="1">
        <v>44742</v>
      </c>
    </row>
    <row r="325" spans="1:4" x14ac:dyDescent="0.25">
      <c r="A325">
        <v>94</v>
      </c>
      <c r="B325" t="s">
        <v>9</v>
      </c>
      <c r="C325">
        <v>494.46370710000002</v>
      </c>
      <c r="D325" s="1">
        <v>44618</v>
      </c>
    </row>
    <row r="326" spans="1:4" x14ac:dyDescent="0.25">
      <c r="A326">
        <v>31</v>
      </c>
      <c r="B326" t="s">
        <v>5</v>
      </c>
      <c r="C326">
        <v>485.72573720000003</v>
      </c>
      <c r="D326" s="1">
        <v>44568</v>
      </c>
    </row>
    <row r="327" spans="1:4" x14ac:dyDescent="0.25">
      <c r="A327">
        <v>94</v>
      </c>
      <c r="B327" t="s">
        <v>11</v>
      </c>
      <c r="C327">
        <v>544.8182395</v>
      </c>
      <c r="D327" s="1">
        <v>44724</v>
      </c>
    </row>
    <row r="328" spans="1:4" x14ac:dyDescent="0.25">
      <c r="A328">
        <v>73</v>
      </c>
      <c r="B328" t="s">
        <v>13</v>
      </c>
      <c r="C328">
        <v>693.78385419999995</v>
      </c>
      <c r="D328" s="1">
        <v>44655</v>
      </c>
    </row>
    <row r="329" spans="1:4" x14ac:dyDescent="0.25">
      <c r="A329">
        <v>36</v>
      </c>
      <c r="B329" t="s">
        <v>10</v>
      </c>
      <c r="C329">
        <v>693.04827880000005</v>
      </c>
      <c r="D329" s="1">
        <v>44641</v>
      </c>
    </row>
    <row r="330" spans="1:4" x14ac:dyDescent="0.25">
      <c r="A330">
        <v>98</v>
      </c>
      <c r="B330" t="s">
        <v>8</v>
      </c>
      <c r="C330">
        <v>563.75763840000002</v>
      </c>
      <c r="D330" s="1">
        <v>44635</v>
      </c>
    </row>
    <row r="331" spans="1:4" x14ac:dyDescent="0.25">
      <c r="A331">
        <v>22</v>
      </c>
      <c r="B331" t="s">
        <v>11</v>
      </c>
      <c r="C331">
        <v>537.85422770000002</v>
      </c>
      <c r="D331" s="1">
        <v>44898</v>
      </c>
    </row>
    <row r="332" spans="1:4" x14ac:dyDescent="0.25">
      <c r="A332">
        <v>44</v>
      </c>
      <c r="B332" t="s">
        <v>10</v>
      </c>
      <c r="C332">
        <v>764.41715439999996</v>
      </c>
      <c r="D332" s="1">
        <v>44626</v>
      </c>
    </row>
    <row r="333" spans="1:4" x14ac:dyDescent="0.25">
      <c r="A333">
        <v>41</v>
      </c>
      <c r="B333" t="s">
        <v>8</v>
      </c>
      <c r="C333">
        <v>572.51573010000004</v>
      </c>
      <c r="D333" s="1">
        <v>44789</v>
      </c>
    </row>
    <row r="334" spans="1:4" x14ac:dyDescent="0.25">
      <c r="A334">
        <v>92</v>
      </c>
      <c r="B334" t="s">
        <v>12</v>
      </c>
      <c r="C334">
        <v>369.05379040000003</v>
      </c>
      <c r="D334" s="1">
        <v>44621</v>
      </c>
    </row>
    <row r="335" spans="1:4" x14ac:dyDescent="0.25">
      <c r="A335">
        <v>93</v>
      </c>
      <c r="B335" t="s">
        <v>10</v>
      </c>
      <c r="C335">
        <v>413.11367799999999</v>
      </c>
      <c r="D335" s="1">
        <v>44621</v>
      </c>
    </row>
    <row r="336" spans="1:4" x14ac:dyDescent="0.25">
      <c r="A336">
        <v>43</v>
      </c>
      <c r="B336" t="s">
        <v>13</v>
      </c>
      <c r="C336">
        <v>498.64311429999998</v>
      </c>
      <c r="D336" s="1">
        <v>44714</v>
      </c>
    </row>
    <row r="337" spans="1:4" x14ac:dyDescent="0.25">
      <c r="A337">
        <v>39</v>
      </c>
      <c r="B337" t="s">
        <v>8</v>
      </c>
      <c r="C337">
        <v>599.94720900000004</v>
      </c>
      <c r="D337" s="1">
        <v>44691</v>
      </c>
    </row>
    <row r="338" spans="1:4" x14ac:dyDescent="0.25">
      <c r="A338">
        <v>37</v>
      </c>
      <c r="B338" t="s">
        <v>11</v>
      </c>
      <c r="C338">
        <v>441.1109831</v>
      </c>
      <c r="D338" s="1">
        <v>44854</v>
      </c>
    </row>
    <row r="339" spans="1:4" x14ac:dyDescent="0.25">
      <c r="A339">
        <v>33</v>
      </c>
      <c r="B339" t="s">
        <v>13</v>
      </c>
      <c r="C339">
        <v>554.36924629999999</v>
      </c>
      <c r="D339" s="1">
        <v>44886</v>
      </c>
    </row>
    <row r="340" spans="1:4" x14ac:dyDescent="0.25">
      <c r="A340">
        <v>83</v>
      </c>
      <c r="B340" t="s">
        <v>7</v>
      </c>
      <c r="C340">
        <v>366.2332624</v>
      </c>
      <c r="D340" s="1">
        <v>44676</v>
      </c>
    </row>
    <row r="341" spans="1:4" x14ac:dyDescent="0.25">
      <c r="A341">
        <v>12</v>
      </c>
      <c r="B341" t="s">
        <v>8</v>
      </c>
      <c r="C341">
        <v>529.30553069999996</v>
      </c>
      <c r="D341" s="1">
        <v>44807</v>
      </c>
    </row>
    <row r="342" spans="1:4" x14ac:dyDescent="0.25">
      <c r="A342">
        <v>98</v>
      </c>
      <c r="B342" t="s">
        <v>11</v>
      </c>
      <c r="C342">
        <v>472.97681640000002</v>
      </c>
      <c r="D342" s="1">
        <v>44799</v>
      </c>
    </row>
    <row r="343" spans="1:4" x14ac:dyDescent="0.25">
      <c r="A343">
        <v>21</v>
      </c>
      <c r="B343" t="s">
        <v>7</v>
      </c>
      <c r="C343">
        <v>631.00522490000003</v>
      </c>
      <c r="D343" s="1">
        <v>44632</v>
      </c>
    </row>
    <row r="344" spans="1:4" x14ac:dyDescent="0.25">
      <c r="A344">
        <v>81</v>
      </c>
      <c r="B344" t="s">
        <v>8</v>
      </c>
      <c r="C344">
        <v>669.31887589999997</v>
      </c>
      <c r="D344" s="1">
        <v>44595</v>
      </c>
    </row>
    <row r="345" spans="1:4" x14ac:dyDescent="0.25">
      <c r="A345">
        <v>76</v>
      </c>
      <c r="B345" t="s">
        <v>10</v>
      </c>
      <c r="C345">
        <v>515.03141919999996</v>
      </c>
      <c r="D345" s="1">
        <v>44751</v>
      </c>
    </row>
    <row r="346" spans="1:4" x14ac:dyDescent="0.25">
      <c r="A346">
        <v>94</v>
      </c>
      <c r="B346" t="s">
        <v>6</v>
      </c>
      <c r="C346">
        <v>531.45543250000003</v>
      </c>
      <c r="D346" s="1">
        <v>44799</v>
      </c>
    </row>
    <row r="347" spans="1:4" x14ac:dyDescent="0.25">
      <c r="A347">
        <v>35</v>
      </c>
      <c r="B347" t="s">
        <v>7</v>
      </c>
      <c r="C347">
        <v>494.80055679999998</v>
      </c>
      <c r="D347" s="1">
        <v>44853</v>
      </c>
    </row>
    <row r="348" spans="1:4" x14ac:dyDescent="0.25">
      <c r="A348">
        <v>30</v>
      </c>
      <c r="B348" t="s">
        <v>7</v>
      </c>
      <c r="C348">
        <v>595.61090279999996</v>
      </c>
      <c r="D348" s="1">
        <v>44925</v>
      </c>
    </row>
    <row r="349" spans="1:4" x14ac:dyDescent="0.25">
      <c r="A349">
        <v>89</v>
      </c>
      <c r="B349" t="s">
        <v>10</v>
      </c>
      <c r="C349">
        <v>519.39071909999996</v>
      </c>
      <c r="D349" s="1">
        <v>44609</v>
      </c>
    </row>
    <row r="350" spans="1:4" x14ac:dyDescent="0.25">
      <c r="A350">
        <v>50</v>
      </c>
      <c r="B350" t="s">
        <v>12</v>
      </c>
      <c r="C350">
        <v>445.19689899999997</v>
      </c>
      <c r="D350" s="1">
        <v>44749</v>
      </c>
    </row>
    <row r="351" spans="1:4" x14ac:dyDescent="0.25">
      <c r="A351">
        <v>47</v>
      </c>
      <c r="B351" t="s">
        <v>12</v>
      </c>
      <c r="C351">
        <v>530.5963726</v>
      </c>
      <c r="D351" s="1">
        <v>44658</v>
      </c>
    </row>
    <row r="352" spans="1:4" x14ac:dyDescent="0.25">
      <c r="A352">
        <v>67</v>
      </c>
      <c r="B352" t="s">
        <v>12</v>
      </c>
      <c r="C352">
        <v>427.72300310000003</v>
      </c>
      <c r="D352" s="1">
        <v>44782</v>
      </c>
    </row>
    <row r="353" spans="1:4" x14ac:dyDescent="0.25">
      <c r="A353">
        <v>82</v>
      </c>
      <c r="B353" t="s">
        <v>7</v>
      </c>
      <c r="C353">
        <v>404.9581488</v>
      </c>
      <c r="D353" s="1">
        <v>44581</v>
      </c>
    </row>
    <row r="354" spans="1:4" x14ac:dyDescent="0.25">
      <c r="A354">
        <v>96</v>
      </c>
      <c r="B354" t="s">
        <v>12</v>
      </c>
      <c r="C354">
        <v>521.30637360000003</v>
      </c>
      <c r="D354" s="1">
        <v>44903</v>
      </c>
    </row>
    <row r="355" spans="1:4" x14ac:dyDescent="0.25">
      <c r="A355">
        <v>81</v>
      </c>
      <c r="B355" t="s">
        <v>11</v>
      </c>
      <c r="C355">
        <v>560.94971620000001</v>
      </c>
      <c r="D355" s="1">
        <v>44576</v>
      </c>
    </row>
    <row r="356" spans="1:4" x14ac:dyDescent="0.25">
      <c r="A356">
        <v>42</v>
      </c>
      <c r="B356" t="s">
        <v>9</v>
      </c>
      <c r="C356">
        <v>544.23879669999997</v>
      </c>
      <c r="D356" s="1">
        <v>44828</v>
      </c>
    </row>
    <row r="357" spans="1:4" x14ac:dyDescent="0.25">
      <c r="A357">
        <v>40</v>
      </c>
      <c r="B357" t="s">
        <v>12</v>
      </c>
      <c r="C357">
        <v>464.30603839999998</v>
      </c>
      <c r="D357" s="1">
        <v>44867</v>
      </c>
    </row>
    <row r="358" spans="1:4" x14ac:dyDescent="0.25">
      <c r="A358">
        <v>42</v>
      </c>
      <c r="B358" t="s">
        <v>8</v>
      </c>
      <c r="C358">
        <v>675.19167259999995</v>
      </c>
      <c r="D358" s="1">
        <v>44628</v>
      </c>
    </row>
    <row r="359" spans="1:4" x14ac:dyDescent="0.25">
      <c r="A359">
        <v>96</v>
      </c>
      <c r="B359" t="s">
        <v>10</v>
      </c>
      <c r="C359">
        <v>415.11770910000001</v>
      </c>
      <c r="D359" s="1">
        <v>44686</v>
      </c>
    </row>
    <row r="360" spans="1:4" x14ac:dyDescent="0.25">
      <c r="A360">
        <v>26</v>
      </c>
      <c r="B360" t="s">
        <v>7</v>
      </c>
      <c r="C360">
        <v>496.31509499999999</v>
      </c>
      <c r="D360" s="1">
        <v>44585</v>
      </c>
    </row>
    <row r="361" spans="1:4" x14ac:dyDescent="0.25">
      <c r="A361">
        <v>13</v>
      </c>
      <c r="B361" t="s">
        <v>7</v>
      </c>
      <c r="C361">
        <v>455.52364790000001</v>
      </c>
      <c r="D361" s="1">
        <v>44885</v>
      </c>
    </row>
    <row r="362" spans="1:4" x14ac:dyDescent="0.25">
      <c r="A362">
        <v>20</v>
      </c>
      <c r="B362" t="s">
        <v>9</v>
      </c>
      <c r="C362">
        <v>547.85181150000005</v>
      </c>
      <c r="D362" s="1">
        <v>44850</v>
      </c>
    </row>
    <row r="363" spans="1:4" x14ac:dyDescent="0.25">
      <c r="A363">
        <v>20</v>
      </c>
      <c r="B363" t="s">
        <v>13</v>
      </c>
      <c r="C363">
        <v>492.21375599999999</v>
      </c>
      <c r="D363" s="1">
        <v>44738</v>
      </c>
    </row>
    <row r="364" spans="1:4" x14ac:dyDescent="0.25">
      <c r="A364">
        <v>93</v>
      </c>
      <c r="B364" t="s">
        <v>8</v>
      </c>
      <c r="C364">
        <v>499.63903759999999</v>
      </c>
      <c r="D364" s="1">
        <v>44673</v>
      </c>
    </row>
    <row r="365" spans="1:4" x14ac:dyDescent="0.25">
      <c r="A365">
        <v>84</v>
      </c>
      <c r="B365" t="s">
        <v>5</v>
      </c>
      <c r="C365">
        <v>548.98310170000002</v>
      </c>
      <c r="D365" s="1">
        <v>44870</v>
      </c>
    </row>
    <row r="366" spans="1:4" x14ac:dyDescent="0.25">
      <c r="A366">
        <v>94</v>
      </c>
      <c r="B366" t="s">
        <v>13</v>
      </c>
      <c r="C366">
        <v>378.51375300000001</v>
      </c>
      <c r="D366" s="1">
        <v>44656</v>
      </c>
    </row>
    <row r="367" spans="1:4" x14ac:dyDescent="0.25">
      <c r="A367">
        <v>41</v>
      </c>
      <c r="B367" t="s">
        <v>12</v>
      </c>
      <c r="C367">
        <v>480.2903154</v>
      </c>
      <c r="D367" s="1">
        <v>44748</v>
      </c>
    </row>
    <row r="368" spans="1:4" x14ac:dyDescent="0.25">
      <c r="A368">
        <v>8</v>
      </c>
      <c r="B368" t="s">
        <v>9</v>
      </c>
      <c r="C368">
        <v>670.86508990000004</v>
      </c>
      <c r="D368" s="1">
        <v>44631</v>
      </c>
    </row>
    <row r="369" spans="1:4" x14ac:dyDescent="0.25">
      <c r="A369">
        <v>39</v>
      </c>
      <c r="B369" t="s">
        <v>12</v>
      </c>
      <c r="C369">
        <v>424.03986159999999</v>
      </c>
      <c r="D369" s="1">
        <v>44728</v>
      </c>
    </row>
    <row r="370" spans="1:4" x14ac:dyDescent="0.25">
      <c r="A370">
        <v>74</v>
      </c>
      <c r="B370" t="s">
        <v>12</v>
      </c>
      <c r="C370">
        <v>597.23695650000002</v>
      </c>
      <c r="D370" s="1">
        <v>44880</v>
      </c>
    </row>
    <row r="371" spans="1:4" x14ac:dyDescent="0.25">
      <c r="A371">
        <v>81</v>
      </c>
      <c r="B371" t="s">
        <v>9</v>
      </c>
      <c r="C371">
        <v>396.8159617</v>
      </c>
      <c r="D371" s="1">
        <v>44877</v>
      </c>
    </row>
    <row r="372" spans="1:4" x14ac:dyDescent="0.25">
      <c r="A372">
        <v>63</v>
      </c>
      <c r="B372" t="s">
        <v>8</v>
      </c>
      <c r="C372">
        <v>576.85866269999997</v>
      </c>
      <c r="D372" s="1">
        <v>44871</v>
      </c>
    </row>
    <row r="373" spans="1:4" x14ac:dyDescent="0.25">
      <c r="A373">
        <v>82</v>
      </c>
      <c r="B373" t="s">
        <v>6</v>
      </c>
      <c r="C373">
        <v>530.12850600000002</v>
      </c>
      <c r="D373" s="1">
        <v>44710</v>
      </c>
    </row>
    <row r="374" spans="1:4" x14ac:dyDescent="0.25">
      <c r="A374">
        <v>11</v>
      </c>
      <c r="B374" t="s">
        <v>8</v>
      </c>
      <c r="C374">
        <v>542.45605809999995</v>
      </c>
      <c r="D374" s="1">
        <v>44650</v>
      </c>
    </row>
    <row r="375" spans="1:4" x14ac:dyDescent="0.25">
      <c r="A375">
        <v>2</v>
      </c>
      <c r="B375" t="s">
        <v>7</v>
      </c>
      <c r="C375">
        <v>500.65710569999999</v>
      </c>
      <c r="D375" s="1">
        <v>44901</v>
      </c>
    </row>
    <row r="376" spans="1:4" x14ac:dyDescent="0.25">
      <c r="A376">
        <v>19</v>
      </c>
      <c r="B376" t="s">
        <v>12</v>
      </c>
      <c r="C376">
        <v>574.12977490000003</v>
      </c>
      <c r="D376" s="1">
        <v>44799</v>
      </c>
    </row>
    <row r="377" spans="1:4" x14ac:dyDescent="0.25">
      <c r="A377">
        <v>77</v>
      </c>
      <c r="B377" t="s">
        <v>8</v>
      </c>
      <c r="C377">
        <v>655.90074870000001</v>
      </c>
      <c r="D377" s="1">
        <v>44822</v>
      </c>
    </row>
    <row r="378" spans="1:4" x14ac:dyDescent="0.25">
      <c r="A378">
        <v>13</v>
      </c>
      <c r="B378" t="s">
        <v>4</v>
      </c>
      <c r="C378">
        <v>458.2831248</v>
      </c>
      <c r="D378" s="1">
        <v>44656</v>
      </c>
    </row>
    <row r="379" spans="1:4" x14ac:dyDescent="0.25">
      <c r="A379">
        <v>31</v>
      </c>
      <c r="B379" t="s">
        <v>6</v>
      </c>
      <c r="C379">
        <v>457.96770370000002</v>
      </c>
      <c r="D379" s="1">
        <v>44609</v>
      </c>
    </row>
    <row r="380" spans="1:4" x14ac:dyDescent="0.25">
      <c r="A380">
        <v>30</v>
      </c>
      <c r="B380" t="s">
        <v>7</v>
      </c>
      <c r="C380">
        <v>569.71858640000005</v>
      </c>
      <c r="D380" s="1">
        <v>44571</v>
      </c>
    </row>
    <row r="381" spans="1:4" x14ac:dyDescent="0.25">
      <c r="A381">
        <v>22</v>
      </c>
      <c r="B381" t="s">
        <v>6</v>
      </c>
      <c r="C381">
        <v>478.90383910000003</v>
      </c>
      <c r="D381" s="1">
        <v>44832</v>
      </c>
    </row>
    <row r="382" spans="1:4" x14ac:dyDescent="0.25">
      <c r="A382">
        <v>94</v>
      </c>
      <c r="B382" t="s">
        <v>11</v>
      </c>
      <c r="C382">
        <v>654.10854979999999</v>
      </c>
      <c r="D382" s="1">
        <v>44809</v>
      </c>
    </row>
    <row r="383" spans="1:4" x14ac:dyDescent="0.25">
      <c r="A383">
        <v>74</v>
      </c>
      <c r="B383" t="s">
        <v>6</v>
      </c>
      <c r="C383">
        <v>528.48319600000002</v>
      </c>
      <c r="D383" s="1">
        <v>44782</v>
      </c>
    </row>
    <row r="384" spans="1:4" x14ac:dyDescent="0.25">
      <c r="A384">
        <v>16</v>
      </c>
      <c r="B384" t="s">
        <v>13</v>
      </c>
      <c r="C384">
        <v>532.19613760000004</v>
      </c>
      <c r="D384" s="1">
        <v>44612</v>
      </c>
    </row>
    <row r="385" spans="1:4" x14ac:dyDescent="0.25">
      <c r="A385">
        <v>69</v>
      </c>
      <c r="B385" t="s">
        <v>6</v>
      </c>
      <c r="C385">
        <v>393.14739309999999</v>
      </c>
      <c r="D385" s="1">
        <v>44582</v>
      </c>
    </row>
    <row r="386" spans="1:4" x14ac:dyDescent="0.25">
      <c r="A386">
        <v>36</v>
      </c>
      <c r="B386" t="s">
        <v>8</v>
      </c>
      <c r="C386">
        <v>642.57158619999996</v>
      </c>
      <c r="D386" s="1">
        <v>44565</v>
      </c>
    </row>
    <row r="387" spans="1:4" x14ac:dyDescent="0.25">
      <c r="A387">
        <v>50</v>
      </c>
      <c r="B387" t="s">
        <v>13</v>
      </c>
      <c r="C387">
        <v>619.95702000000006</v>
      </c>
      <c r="D387" s="1">
        <v>44608</v>
      </c>
    </row>
    <row r="388" spans="1:4" x14ac:dyDescent="0.25">
      <c r="A388">
        <v>33</v>
      </c>
      <c r="B388" t="s">
        <v>11</v>
      </c>
      <c r="C388">
        <v>332.19635929999998</v>
      </c>
      <c r="D388" s="1">
        <v>44678</v>
      </c>
    </row>
    <row r="389" spans="1:4" x14ac:dyDescent="0.25">
      <c r="A389">
        <v>80</v>
      </c>
      <c r="B389" t="s">
        <v>5</v>
      </c>
      <c r="C389">
        <v>682.88061630000004</v>
      </c>
      <c r="D389" s="1">
        <v>44912</v>
      </c>
    </row>
    <row r="390" spans="1:4" x14ac:dyDescent="0.25">
      <c r="A390">
        <v>28</v>
      </c>
      <c r="B390" t="s">
        <v>8</v>
      </c>
      <c r="C390">
        <v>446.47911440000001</v>
      </c>
      <c r="D390" s="1">
        <v>44876</v>
      </c>
    </row>
    <row r="391" spans="1:4" x14ac:dyDescent="0.25">
      <c r="A391">
        <v>49</v>
      </c>
      <c r="B391" t="s">
        <v>9</v>
      </c>
      <c r="C391">
        <v>416.43393589999999</v>
      </c>
      <c r="D391" s="1">
        <v>44826</v>
      </c>
    </row>
    <row r="392" spans="1:4" x14ac:dyDescent="0.25">
      <c r="A392">
        <v>12</v>
      </c>
      <c r="B392" t="s">
        <v>7</v>
      </c>
      <c r="C392">
        <v>424.15300999999999</v>
      </c>
      <c r="D392" s="1">
        <v>44614</v>
      </c>
    </row>
    <row r="393" spans="1:4" x14ac:dyDescent="0.25">
      <c r="A393">
        <v>53</v>
      </c>
      <c r="B393" t="s">
        <v>8</v>
      </c>
      <c r="C393">
        <v>367.58700979999998</v>
      </c>
      <c r="D393" s="1">
        <v>44658</v>
      </c>
    </row>
    <row r="394" spans="1:4" x14ac:dyDescent="0.25">
      <c r="A394">
        <v>28</v>
      </c>
      <c r="B394" t="s">
        <v>11</v>
      </c>
      <c r="C394">
        <v>578.84674710000002</v>
      </c>
      <c r="D394" s="1">
        <v>44908</v>
      </c>
    </row>
    <row r="395" spans="1:4" x14ac:dyDescent="0.25">
      <c r="A395">
        <v>66</v>
      </c>
      <c r="B395" t="s">
        <v>11</v>
      </c>
      <c r="C395">
        <v>362.32815349999998</v>
      </c>
      <c r="D395" s="1">
        <v>44569</v>
      </c>
    </row>
    <row r="396" spans="1:4" x14ac:dyDescent="0.25">
      <c r="A396">
        <v>50</v>
      </c>
      <c r="B396" t="s">
        <v>10</v>
      </c>
      <c r="C396">
        <v>392.96047579999998</v>
      </c>
      <c r="D396" s="1">
        <v>44596</v>
      </c>
    </row>
    <row r="397" spans="1:4" x14ac:dyDescent="0.25">
      <c r="A397">
        <v>76</v>
      </c>
      <c r="B397" t="s">
        <v>8</v>
      </c>
      <c r="C397">
        <v>401.32590690000001</v>
      </c>
      <c r="D397" s="1">
        <v>44589</v>
      </c>
    </row>
    <row r="398" spans="1:4" x14ac:dyDescent="0.25">
      <c r="A398">
        <v>47</v>
      </c>
      <c r="B398" t="s">
        <v>11</v>
      </c>
      <c r="C398">
        <v>553.65861840000002</v>
      </c>
      <c r="D398" s="1">
        <v>44899</v>
      </c>
    </row>
    <row r="399" spans="1:4" x14ac:dyDescent="0.25">
      <c r="A399">
        <v>51</v>
      </c>
      <c r="B399" t="s">
        <v>8</v>
      </c>
      <c r="C399">
        <v>455.4793416</v>
      </c>
      <c r="D399" s="1">
        <v>44657</v>
      </c>
    </row>
    <row r="400" spans="1:4" x14ac:dyDescent="0.25">
      <c r="A400">
        <v>6</v>
      </c>
      <c r="B400" t="s">
        <v>11</v>
      </c>
      <c r="C400">
        <v>499.64985630000001</v>
      </c>
      <c r="D400" s="1">
        <v>44676</v>
      </c>
    </row>
    <row r="401" spans="1:4" x14ac:dyDescent="0.25">
      <c r="A401">
        <v>80</v>
      </c>
      <c r="B401" t="s">
        <v>11</v>
      </c>
      <c r="C401">
        <v>437.61859049999998</v>
      </c>
      <c r="D401" s="1">
        <v>44726</v>
      </c>
    </row>
    <row r="402" spans="1:4" x14ac:dyDescent="0.25">
      <c r="A402">
        <v>15</v>
      </c>
      <c r="B402" t="s">
        <v>7</v>
      </c>
      <c r="C402">
        <v>546.08469249999996</v>
      </c>
      <c r="D402" s="1">
        <v>44785</v>
      </c>
    </row>
    <row r="403" spans="1:4" x14ac:dyDescent="0.25">
      <c r="A403">
        <v>19</v>
      </c>
      <c r="B403" t="s">
        <v>9</v>
      </c>
      <c r="C403">
        <v>442.24798800000002</v>
      </c>
      <c r="D403" s="1">
        <v>44665</v>
      </c>
    </row>
    <row r="404" spans="1:4" x14ac:dyDescent="0.25">
      <c r="A404">
        <v>59</v>
      </c>
      <c r="B404" t="s">
        <v>6</v>
      </c>
      <c r="C404">
        <v>668.76085660000001</v>
      </c>
      <c r="D404" s="1">
        <v>44577</v>
      </c>
    </row>
    <row r="405" spans="1:4" x14ac:dyDescent="0.25">
      <c r="A405">
        <v>3</v>
      </c>
      <c r="B405" t="s">
        <v>9</v>
      </c>
      <c r="C405">
        <v>502.5660517</v>
      </c>
      <c r="D405" s="1">
        <v>44591</v>
      </c>
    </row>
    <row r="406" spans="1:4" x14ac:dyDescent="0.25">
      <c r="A406">
        <v>97</v>
      </c>
      <c r="B406" t="s">
        <v>13</v>
      </c>
      <c r="C406">
        <v>440.96928380000003</v>
      </c>
      <c r="D406" s="1">
        <v>44798</v>
      </c>
    </row>
    <row r="407" spans="1:4" x14ac:dyDescent="0.25">
      <c r="A407">
        <v>33</v>
      </c>
      <c r="B407" t="s">
        <v>6</v>
      </c>
      <c r="C407">
        <v>638.20218030000001</v>
      </c>
      <c r="D407" s="1">
        <v>44842</v>
      </c>
    </row>
    <row r="408" spans="1:4" x14ac:dyDescent="0.25">
      <c r="A408">
        <v>48</v>
      </c>
      <c r="B408" t="s">
        <v>7</v>
      </c>
      <c r="C408">
        <v>503.19013369999999</v>
      </c>
      <c r="D408" s="1">
        <v>44806</v>
      </c>
    </row>
    <row r="409" spans="1:4" x14ac:dyDescent="0.25">
      <c r="A409">
        <v>75</v>
      </c>
      <c r="B409" t="s">
        <v>4</v>
      </c>
      <c r="C409">
        <v>399.74933060000001</v>
      </c>
      <c r="D409" s="1">
        <v>44801</v>
      </c>
    </row>
    <row r="410" spans="1:4" x14ac:dyDescent="0.25">
      <c r="A410">
        <v>100</v>
      </c>
      <c r="B410" t="s">
        <v>5</v>
      </c>
      <c r="C410">
        <v>404.4334925</v>
      </c>
      <c r="D410" s="1">
        <v>44580</v>
      </c>
    </row>
    <row r="411" spans="1:4" x14ac:dyDescent="0.25">
      <c r="A411">
        <v>45</v>
      </c>
      <c r="B411" t="s">
        <v>11</v>
      </c>
      <c r="C411">
        <v>549.05656759999999</v>
      </c>
      <c r="D411" s="1">
        <v>44920</v>
      </c>
    </row>
    <row r="412" spans="1:4" x14ac:dyDescent="0.25">
      <c r="A412">
        <v>10</v>
      </c>
      <c r="B412" t="s">
        <v>9</v>
      </c>
      <c r="C412">
        <v>382.05826280000002</v>
      </c>
      <c r="D412" s="1">
        <v>44841</v>
      </c>
    </row>
    <row r="413" spans="1:4" x14ac:dyDescent="0.25">
      <c r="A413">
        <v>42</v>
      </c>
      <c r="B413" t="s">
        <v>4</v>
      </c>
      <c r="C413">
        <v>655.6754426</v>
      </c>
      <c r="D413" s="1">
        <v>44791</v>
      </c>
    </row>
    <row r="414" spans="1:4" x14ac:dyDescent="0.25">
      <c r="A414">
        <v>24</v>
      </c>
      <c r="B414" t="s">
        <v>6</v>
      </c>
      <c r="C414">
        <v>409.57389949999998</v>
      </c>
      <c r="D414" s="1">
        <v>44618</v>
      </c>
    </row>
    <row r="415" spans="1:4" x14ac:dyDescent="0.25">
      <c r="A415">
        <v>92</v>
      </c>
      <c r="B415" t="s">
        <v>13</v>
      </c>
      <c r="C415">
        <v>349.7297097</v>
      </c>
      <c r="D415" s="1">
        <v>44580</v>
      </c>
    </row>
    <row r="416" spans="1:4" x14ac:dyDescent="0.25">
      <c r="A416">
        <v>18</v>
      </c>
      <c r="B416" t="s">
        <v>6</v>
      </c>
      <c r="C416">
        <v>343.51626370000002</v>
      </c>
      <c r="D416" s="1">
        <v>44867</v>
      </c>
    </row>
    <row r="417" spans="1:4" x14ac:dyDescent="0.25">
      <c r="A417">
        <v>81</v>
      </c>
      <c r="B417" t="s">
        <v>11</v>
      </c>
      <c r="C417">
        <v>400.58273500000001</v>
      </c>
      <c r="D417" s="1">
        <v>44575</v>
      </c>
    </row>
    <row r="418" spans="1:4" x14ac:dyDescent="0.25">
      <c r="A418">
        <v>84</v>
      </c>
      <c r="B418" t="s">
        <v>11</v>
      </c>
      <c r="C418">
        <v>555.75281559999996</v>
      </c>
      <c r="D418" s="1">
        <v>44739</v>
      </c>
    </row>
    <row r="419" spans="1:4" x14ac:dyDescent="0.25">
      <c r="A419">
        <v>59</v>
      </c>
      <c r="B419" t="s">
        <v>10</v>
      </c>
      <c r="C419">
        <v>306.7220461</v>
      </c>
      <c r="D419" s="1">
        <v>44800</v>
      </c>
    </row>
    <row r="420" spans="1:4" x14ac:dyDescent="0.25">
      <c r="A420">
        <v>9</v>
      </c>
      <c r="B420" t="s">
        <v>12</v>
      </c>
      <c r="C420">
        <v>451.19206589999999</v>
      </c>
      <c r="D420" s="1">
        <v>44701</v>
      </c>
    </row>
    <row r="421" spans="1:4" x14ac:dyDescent="0.25">
      <c r="A421">
        <v>53</v>
      </c>
      <c r="B421" t="s">
        <v>11</v>
      </c>
      <c r="C421">
        <v>492.93026409999999</v>
      </c>
      <c r="D421" s="1">
        <v>44864</v>
      </c>
    </row>
    <row r="422" spans="1:4" x14ac:dyDescent="0.25">
      <c r="A422">
        <v>11</v>
      </c>
      <c r="B422" t="s">
        <v>8</v>
      </c>
      <c r="C422">
        <v>358.04127469999997</v>
      </c>
      <c r="D422" s="1">
        <v>44682</v>
      </c>
    </row>
    <row r="423" spans="1:4" x14ac:dyDescent="0.25">
      <c r="A423">
        <v>8</v>
      </c>
      <c r="B423" t="s">
        <v>12</v>
      </c>
      <c r="C423">
        <v>518.95484569999996</v>
      </c>
      <c r="D423" s="1">
        <v>44861</v>
      </c>
    </row>
    <row r="424" spans="1:4" x14ac:dyDescent="0.25">
      <c r="A424">
        <v>5</v>
      </c>
      <c r="B424" t="s">
        <v>11</v>
      </c>
      <c r="C424">
        <v>237.75661969999999</v>
      </c>
      <c r="D424" s="1">
        <v>44797</v>
      </c>
    </row>
    <row r="425" spans="1:4" x14ac:dyDescent="0.25">
      <c r="A425">
        <v>29</v>
      </c>
      <c r="B425" t="s">
        <v>9</v>
      </c>
      <c r="C425">
        <v>332.30560659999998</v>
      </c>
      <c r="D425" s="1">
        <v>44691</v>
      </c>
    </row>
    <row r="426" spans="1:4" x14ac:dyDescent="0.25">
      <c r="A426">
        <v>50</v>
      </c>
      <c r="B426" t="s">
        <v>4</v>
      </c>
      <c r="C426">
        <v>654.27562829999999</v>
      </c>
      <c r="D426" s="1">
        <v>44924</v>
      </c>
    </row>
    <row r="427" spans="1:4" x14ac:dyDescent="0.25">
      <c r="A427">
        <v>70</v>
      </c>
      <c r="B427" t="s">
        <v>4</v>
      </c>
      <c r="C427">
        <v>668.12303150000002</v>
      </c>
      <c r="D427" s="1">
        <v>44644</v>
      </c>
    </row>
    <row r="428" spans="1:4" x14ac:dyDescent="0.25">
      <c r="A428">
        <v>74</v>
      </c>
      <c r="B428" t="s">
        <v>7</v>
      </c>
      <c r="C428">
        <v>604.31016690000001</v>
      </c>
      <c r="D428" s="1">
        <v>44671</v>
      </c>
    </row>
    <row r="429" spans="1:4" x14ac:dyDescent="0.25">
      <c r="A429">
        <v>26</v>
      </c>
      <c r="B429" t="s">
        <v>8</v>
      </c>
      <c r="C429">
        <v>754.09711049999999</v>
      </c>
      <c r="D429" s="1">
        <v>44812</v>
      </c>
    </row>
    <row r="430" spans="1:4" x14ac:dyDescent="0.25">
      <c r="A430">
        <v>73</v>
      </c>
      <c r="B430" t="s">
        <v>13</v>
      </c>
      <c r="C430">
        <v>443.82204869999998</v>
      </c>
      <c r="D430" s="1">
        <v>44590</v>
      </c>
    </row>
    <row r="431" spans="1:4" x14ac:dyDescent="0.25">
      <c r="A431">
        <v>11</v>
      </c>
      <c r="B431" t="s">
        <v>10</v>
      </c>
      <c r="C431">
        <v>674.40459959999998</v>
      </c>
      <c r="D431" s="1">
        <v>44905</v>
      </c>
    </row>
    <row r="432" spans="1:4" x14ac:dyDescent="0.25">
      <c r="A432">
        <v>6</v>
      </c>
      <c r="B432" t="s">
        <v>8</v>
      </c>
      <c r="C432">
        <v>385.85404240000003</v>
      </c>
      <c r="D432" s="1">
        <v>44902</v>
      </c>
    </row>
    <row r="433" spans="1:4" x14ac:dyDescent="0.25">
      <c r="A433">
        <v>96</v>
      </c>
      <c r="B433" t="s">
        <v>10</v>
      </c>
      <c r="C433">
        <v>590.93334430000004</v>
      </c>
      <c r="D433" s="1">
        <v>44794</v>
      </c>
    </row>
    <row r="434" spans="1:4" x14ac:dyDescent="0.25">
      <c r="A434">
        <v>76</v>
      </c>
      <c r="B434" t="s">
        <v>4</v>
      </c>
      <c r="C434">
        <v>330.67046019999998</v>
      </c>
      <c r="D434" s="1">
        <v>44772</v>
      </c>
    </row>
    <row r="435" spans="1:4" x14ac:dyDescent="0.25">
      <c r="A435">
        <v>83</v>
      </c>
      <c r="B435" t="s">
        <v>13</v>
      </c>
      <c r="C435">
        <v>553.83084159999999</v>
      </c>
      <c r="D435" s="1">
        <v>44817</v>
      </c>
    </row>
    <row r="436" spans="1:4" x14ac:dyDescent="0.25">
      <c r="A436">
        <v>91</v>
      </c>
      <c r="B436" t="s">
        <v>8</v>
      </c>
      <c r="C436">
        <v>285.28601409999999</v>
      </c>
      <c r="D436" s="1">
        <v>44642</v>
      </c>
    </row>
    <row r="437" spans="1:4" x14ac:dyDescent="0.25">
      <c r="A437">
        <v>56</v>
      </c>
      <c r="B437" t="s">
        <v>10</v>
      </c>
      <c r="C437">
        <v>334.57018019999998</v>
      </c>
      <c r="D437" s="1">
        <v>44700</v>
      </c>
    </row>
    <row r="438" spans="1:4" x14ac:dyDescent="0.25">
      <c r="A438">
        <v>96</v>
      </c>
      <c r="B438" t="s">
        <v>10</v>
      </c>
      <c r="C438">
        <v>382.78593210000003</v>
      </c>
      <c r="D438" s="1">
        <v>44593</v>
      </c>
    </row>
    <row r="439" spans="1:4" x14ac:dyDescent="0.25">
      <c r="A439">
        <v>27</v>
      </c>
      <c r="B439" t="s">
        <v>4</v>
      </c>
      <c r="C439">
        <v>426.08994969999998</v>
      </c>
      <c r="D439" s="1">
        <v>44665</v>
      </c>
    </row>
    <row r="440" spans="1:4" x14ac:dyDescent="0.25">
      <c r="A440">
        <v>94</v>
      </c>
      <c r="B440" t="s">
        <v>6</v>
      </c>
      <c r="C440">
        <v>519.25011459999996</v>
      </c>
      <c r="D440" s="1">
        <v>44640</v>
      </c>
    </row>
    <row r="441" spans="1:4" x14ac:dyDescent="0.25">
      <c r="A441">
        <v>68</v>
      </c>
      <c r="B441" t="s">
        <v>8</v>
      </c>
      <c r="C441">
        <v>481.0262348</v>
      </c>
      <c r="D441" s="1">
        <v>44640</v>
      </c>
    </row>
    <row r="442" spans="1:4" x14ac:dyDescent="0.25">
      <c r="A442">
        <v>88</v>
      </c>
      <c r="B442" t="s">
        <v>10</v>
      </c>
      <c r="C442">
        <v>633.36850770000001</v>
      </c>
      <c r="D442" s="1">
        <v>44633</v>
      </c>
    </row>
    <row r="443" spans="1:4" x14ac:dyDescent="0.25">
      <c r="A443">
        <v>28</v>
      </c>
      <c r="B443" t="s">
        <v>8</v>
      </c>
      <c r="C443">
        <v>648.77974940000001</v>
      </c>
      <c r="D443" s="1">
        <v>44715</v>
      </c>
    </row>
    <row r="444" spans="1:4" x14ac:dyDescent="0.25">
      <c r="A444">
        <v>67</v>
      </c>
      <c r="B444" t="s">
        <v>11</v>
      </c>
      <c r="C444">
        <v>586.0573296</v>
      </c>
      <c r="D444" s="1">
        <v>44674</v>
      </c>
    </row>
    <row r="445" spans="1:4" x14ac:dyDescent="0.25">
      <c r="A445">
        <v>40</v>
      </c>
      <c r="B445" t="s">
        <v>5</v>
      </c>
      <c r="C445">
        <v>459.0011768</v>
      </c>
      <c r="D445" s="1">
        <v>44746</v>
      </c>
    </row>
    <row r="446" spans="1:4" x14ac:dyDescent="0.25">
      <c r="A446">
        <v>6</v>
      </c>
      <c r="B446" t="s">
        <v>7</v>
      </c>
      <c r="C446">
        <v>500.9603735</v>
      </c>
      <c r="D446" s="1">
        <v>44792</v>
      </c>
    </row>
    <row r="447" spans="1:4" x14ac:dyDescent="0.25">
      <c r="A447">
        <v>36</v>
      </c>
      <c r="B447" t="s">
        <v>9</v>
      </c>
      <c r="C447">
        <v>485.57345800000002</v>
      </c>
      <c r="D447" s="1">
        <v>44835</v>
      </c>
    </row>
    <row r="448" spans="1:4" x14ac:dyDescent="0.25">
      <c r="A448">
        <v>55</v>
      </c>
      <c r="B448" t="s">
        <v>13</v>
      </c>
      <c r="C448">
        <v>600.10663969999996</v>
      </c>
      <c r="D448" s="1">
        <v>44803</v>
      </c>
    </row>
    <row r="449" spans="1:4" x14ac:dyDescent="0.25">
      <c r="A449">
        <v>94</v>
      </c>
      <c r="B449" t="s">
        <v>9</v>
      </c>
      <c r="C449">
        <v>492.56597140000002</v>
      </c>
      <c r="D449" s="1">
        <v>44709</v>
      </c>
    </row>
    <row r="450" spans="1:4" x14ac:dyDescent="0.25">
      <c r="A450">
        <v>48</v>
      </c>
      <c r="B450" t="s">
        <v>12</v>
      </c>
      <c r="C450">
        <v>424.76107689999998</v>
      </c>
      <c r="D450" s="1">
        <v>44803</v>
      </c>
    </row>
    <row r="451" spans="1:4" x14ac:dyDescent="0.25">
      <c r="A451">
        <v>10</v>
      </c>
      <c r="B451" t="s">
        <v>10</v>
      </c>
      <c r="C451">
        <v>555.17417829999999</v>
      </c>
      <c r="D451" s="1">
        <v>44903</v>
      </c>
    </row>
    <row r="452" spans="1:4" x14ac:dyDescent="0.25">
      <c r="A452">
        <v>25</v>
      </c>
      <c r="B452" t="s">
        <v>11</v>
      </c>
      <c r="C452">
        <v>282.1783279</v>
      </c>
      <c r="D452" s="1">
        <v>44735</v>
      </c>
    </row>
    <row r="453" spans="1:4" x14ac:dyDescent="0.25">
      <c r="A453">
        <v>38</v>
      </c>
      <c r="B453" t="s">
        <v>6</v>
      </c>
      <c r="C453">
        <v>509.2511141</v>
      </c>
      <c r="D453" s="1">
        <v>44913</v>
      </c>
    </row>
    <row r="454" spans="1:4" x14ac:dyDescent="0.25">
      <c r="A454">
        <v>100</v>
      </c>
      <c r="B454" t="s">
        <v>7</v>
      </c>
      <c r="C454">
        <v>431.29004220000002</v>
      </c>
      <c r="D454" s="1">
        <v>44756</v>
      </c>
    </row>
    <row r="455" spans="1:4" x14ac:dyDescent="0.25">
      <c r="A455">
        <v>25</v>
      </c>
      <c r="B455" t="s">
        <v>8</v>
      </c>
      <c r="C455">
        <v>464.98274730000003</v>
      </c>
      <c r="D455" s="1">
        <v>44563</v>
      </c>
    </row>
    <row r="456" spans="1:4" x14ac:dyDescent="0.25">
      <c r="A456">
        <v>4</v>
      </c>
      <c r="B456" t="s">
        <v>8</v>
      </c>
      <c r="C456">
        <v>559.99332489999995</v>
      </c>
      <c r="D456" s="1">
        <v>44720</v>
      </c>
    </row>
    <row r="457" spans="1:4" x14ac:dyDescent="0.25">
      <c r="A457">
        <v>79</v>
      </c>
      <c r="B457" t="s">
        <v>5</v>
      </c>
      <c r="C457">
        <v>523.24404270000002</v>
      </c>
      <c r="D457" s="1">
        <v>44925</v>
      </c>
    </row>
    <row r="458" spans="1:4" x14ac:dyDescent="0.25">
      <c r="A458">
        <v>52</v>
      </c>
      <c r="B458" t="s">
        <v>9</v>
      </c>
      <c r="C458">
        <v>562.49390149999999</v>
      </c>
      <c r="D458" s="1">
        <v>44869</v>
      </c>
    </row>
    <row r="459" spans="1:4" x14ac:dyDescent="0.25">
      <c r="A459">
        <v>22</v>
      </c>
      <c r="B459" t="s">
        <v>6</v>
      </c>
      <c r="C459">
        <v>502.77942780000001</v>
      </c>
      <c r="D459" s="1">
        <v>44586</v>
      </c>
    </row>
    <row r="460" spans="1:4" x14ac:dyDescent="0.25">
      <c r="A460">
        <v>24</v>
      </c>
      <c r="B460" t="s">
        <v>8</v>
      </c>
      <c r="C460">
        <v>416.12173689999997</v>
      </c>
      <c r="D460" s="1">
        <v>44910</v>
      </c>
    </row>
    <row r="461" spans="1:4" x14ac:dyDescent="0.25">
      <c r="A461">
        <v>39</v>
      </c>
      <c r="B461" t="s">
        <v>5</v>
      </c>
      <c r="C461">
        <v>398.21894200000003</v>
      </c>
      <c r="D461" s="1">
        <v>44845</v>
      </c>
    </row>
    <row r="462" spans="1:4" x14ac:dyDescent="0.25">
      <c r="A462">
        <v>47</v>
      </c>
      <c r="B462" t="s">
        <v>6</v>
      </c>
      <c r="C462">
        <v>495.21978860000002</v>
      </c>
      <c r="D462" s="1">
        <v>44812</v>
      </c>
    </row>
    <row r="463" spans="1:4" x14ac:dyDescent="0.25">
      <c r="A463">
        <v>60</v>
      </c>
      <c r="B463" t="s">
        <v>8</v>
      </c>
      <c r="C463">
        <v>702.22448699999995</v>
      </c>
      <c r="D463" s="1">
        <v>44654</v>
      </c>
    </row>
    <row r="464" spans="1:4" x14ac:dyDescent="0.25">
      <c r="A464">
        <v>63</v>
      </c>
      <c r="B464" t="s">
        <v>5</v>
      </c>
      <c r="C464">
        <v>330.23688670000001</v>
      </c>
      <c r="D464" s="1">
        <v>44690</v>
      </c>
    </row>
    <row r="465" spans="1:4" x14ac:dyDescent="0.25">
      <c r="A465">
        <v>37</v>
      </c>
      <c r="B465" t="s">
        <v>12</v>
      </c>
      <c r="C465">
        <v>516.83828419999998</v>
      </c>
      <c r="D465" s="1">
        <v>44848</v>
      </c>
    </row>
    <row r="466" spans="1:4" x14ac:dyDescent="0.25">
      <c r="A466">
        <v>46</v>
      </c>
      <c r="B466" t="s">
        <v>10</v>
      </c>
      <c r="C466">
        <v>447.77670590000002</v>
      </c>
      <c r="D466" s="1">
        <v>44650</v>
      </c>
    </row>
    <row r="467" spans="1:4" x14ac:dyDescent="0.25">
      <c r="A467">
        <v>54</v>
      </c>
      <c r="B467" t="s">
        <v>10</v>
      </c>
      <c r="C467">
        <v>426.82099599999998</v>
      </c>
      <c r="D467" s="1">
        <v>44665</v>
      </c>
    </row>
    <row r="468" spans="1:4" x14ac:dyDescent="0.25">
      <c r="A468">
        <v>47</v>
      </c>
      <c r="B468" t="s">
        <v>7</v>
      </c>
      <c r="C468">
        <v>555.64545180000005</v>
      </c>
      <c r="D468" s="1">
        <v>44623</v>
      </c>
    </row>
    <row r="469" spans="1:4" x14ac:dyDescent="0.25">
      <c r="A469">
        <v>79</v>
      </c>
      <c r="B469" t="s">
        <v>6</v>
      </c>
      <c r="C469">
        <v>475.94373180000002</v>
      </c>
      <c r="D469" s="1">
        <v>44567</v>
      </c>
    </row>
    <row r="470" spans="1:4" x14ac:dyDescent="0.25">
      <c r="A470">
        <v>16</v>
      </c>
      <c r="B470" t="s">
        <v>9</v>
      </c>
      <c r="C470">
        <v>636.55876709999995</v>
      </c>
      <c r="D470" s="1">
        <v>44816</v>
      </c>
    </row>
    <row r="471" spans="1:4" x14ac:dyDescent="0.25">
      <c r="A471">
        <v>19</v>
      </c>
      <c r="B471" t="s">
        <v>8</v>
      </c>
      <c r="C471">
        <v>422.1256052</v>
      </c>
      <c r="D471" s="1">
        <v>44617</v>
      </c>
    </row>
    <row r="472" spans="1:4" x14ac:dyDescent="0.25">
      <c r="A472">
        <v>72</v>
      </c>
      <c r="B472" t="s">
        <v>12</v>
      </c>
      <c r="C472">
        <v>325.68434439999999</v>
      </c>
      <c r="D472" s="1">
        <v>44581</v>
      </c>
    </row>
    <row r="473" spans="1:4" x14ac:dyDescent="0.25">
      <c r="A473">
        <v>31</v>
      </c>
      <c r="B473" t="s">
        <v>4</v>
      </c>
      <c r="C473">
        <v>378.8377514</v>
      </c>
      <c r="D473" s="1">
        <v>44909</v>
      </c>
    </row>
    <row r="474" spans="1:4" x14ac:dyDescent="0.25">
      <c r="A474">
        <v>37</v>
      </c>
      <c r="B474" t="s">
        <v>11</v>
      </c>
      <c r="C474">
        <v>377.95342310000001</v>
      </c>
      <c r="D474" s="1">
        <v>44611</v>
      </c>
    </row>
    <row r="475" spans="1:4" x14ac:dyDescent="0.25">
      <c r="A475">
        <v>48</v>
      </c>
      <c r="B475" t="s">
        <v>5</v>
      </c>
      <c r="C475">
        <v>573.13058209999997</v>
      </c>
      <c r="D475" s="1">
        <v>44763</v>
      </c>
    </row>
    <row r="476" spans="1:4" x14ac:dyDescent="0.25">
      <c r="A476">
        <v>60</v>
      </c>
      <c r="B476" t="s">
        <v>4</v>
      </c>
      <c r="C476">
        <v>511.79692349999999</v>
      </c>
      <c r="D476" s="1">
        <v>44566</v>
      </c>
    </row>
    <row r="477" spans="1:4" x14ac:dyDescent="0.25">
      <c r="A477">
        <v>62</v>
      </c>
      <c r="B477" t="s">
        <v>13</v>
      </c>
      <c r="C477">
        <v>560.5659177</v>
      </c>
      <c r="D477" s="1">
        <v>44638</v>
      </c>
    </row>
    <row r="478" spans="1:4" x14ac:dyDescent="0.25">
      <c r="A478">
        <v>80</v>
      </c>
      <c r="B478" t="s">
        <v>5</v>
      </c>
      <c r="C478">
        <v>525.52602509999997</v>
      </c>
      <c r="D478" s="1">
        <v>44826</v>
      </c>
    </row>
    <row r="479" spans="1:4" x14ac:dyDescent="0.25">
      <c r="A479">
        <v>9</v>
      </c>
      <c r="B479" t="s">
        <v>8</v>
      </c>
      <c r="C479">
        <v>593.93431650000002</v>
      </c>
      <c r="D479" s="1">
        <v>44735</v>
      </c>
    </row>
    <row r="480" spans="1:4" x14ac:dyDescent="0.25">
      <c r="A480">
        <v>11</v>
      </c>
      <c r="B480" t="s">
        <v>11</v>
      </c>
      <c r="C480">
        <v>618.99941449999994</v>
      </c>
      <c r="D480" s="1">
        <v>44654</v>
      </c>
    </row>
    <row r="481" spans="1:4" x14ac:dyDescent="0.25">
      <c r="A481">
        <v>43</v>
      </c>
      <c r="B481" t="s">
        <v>11</v>
      </c>
      <c r="C481">
        <v>595.20827799999995</v>
      </c>
      <c r="D481" s="1">
        <v>44785</v>
      </c>
    </row>
    <row r="482" spans="1:4" x14ac:dyDescent="0.25">
      <c r="A482">
        <v>30</v>
      </c>
      <c r="B482" t="s">
        <v>12</v>
      </c>
      <c r="C482">
        <v>457.16986379999997</v>
      </c>
      <c r="D482" s="1">
        <v>44808</v>
      </c>
    </row>
    <row r="483" spans="1:4" x14ac:dyDescent="0.25">
      <c r="A483">
        <v>61</v>
      </c>
      <c r="B483" t="s">
        <v>7</v>
      </c>
      <c r="C483">
        <v>412.69799219999999</v>
      </c>
      <c r="D483" s="1">
        <v>44637</v>
      </c>
    </row>
    <row r="484" spans="1:4" x14ac:dyDescent="0.25">
      <c r="A484">
        <v>74</v>
      </c>
      <c r="B484" t="s">
        <v>7</v>
      </c>
      <c r="C484">
        <v>553.98339239999996</v>
      </c>
      <c r="D484" s="1">
        <v>44685</v>
      </c>
    </row>
    <row r="485" spans="1:4" x14ac:dyDescent="0.25">
      <c r="A485">
        <v>55</v>
      </c>
      <c r="B485" t="s">
        <v>9</v>
      </c>
      <c r="C485">
        <v>592.50326210000003</v>
      </c>
      <c r="D485" s="1">
        <v>44655</v>
      </c>
    </row>
    <row r="486" spans="1:4" x14ac:dyDescent="0.25">
      <c r="A486">
        <v>61</v>
      </c>
      <c r="B486" t="s">
        <v>10</v>
      </c>
      <c r="C486">
        <v>403.17413690000001</v>
      </c>
      <c r="D486" s="1">
        <v>44891</v>
      </c>
    </row>
    <row r="487" spans="1:4" x14ac:dyDescent="0.25">
      <c r="A487">
        <v>34</v>
      </c>
      <c r="B487" t="s">
        <v>11</v>
      </c>
      <c r="C487">
        <v>582.69954340000004</v>
      </c>
      <c r="D487" s="1">
        <v>44666</v>
      </c>
    </row>
    <row r="488" spans="1:4" x14ac:dyDescent="0.25">
      <c r="A488">
        <v>57</v>
      </c>
      <c r="B488" t="s">
        <v>9</v>
      </c>
      <c r="C488">
        <v>430.5495545</v>
      </c>
      <c r="D488" s="1">
        <v>44571</v>
      </c>
    </row>
    <row r="489" spans="1:4" x14ac:dyDescent="0.25">
      <c r="A489">
        <v>38</v>
      </c>
      <c r="B489" t="s">
        <v>4</v>
      </c>
      <c r="C489">
        <v>474.18700530000001</v>
      </c>
      <c r="D489" s="1">
        <v>44891</v>
      </c>
    </row>
    <row r="490" spans="1:4" x14ac:dyDescent="0.25">
      <c r="A490">
        <v>84</v>
      </c>
      <c r="B490" t="s">
        <v>13</v>
      </c>
      <c r="C490">
        <v>449.04885919999998</v>
      </c>
      <c r="D490" s="1">
        <v>44879</v>
      </c>
    </row>
    <row r="491" spans="1:4" x14ac:dyDescent="0.25">
      <c r="A491">
        <v>63</v>
      </c>
      <c r="B491" t="s">
        <v>8</v>
      </c>
      <c r="C491">
        <v>459.0882694</v>
      </c>
      <c r="D491" s="1">
        <v>44778</v>
      </c>
    </row>
    <row r="492" spans="1:4" x14ac:dyDescent="0.25">
      <c r="A492">
        <v>46</v>
      </c>
      <c r="B492" t="s">
        <v>5</v>
      </c>
      <c r="C492">
        <v>234.46681580000001</v>
      </c>
      <c r="D492" s="1">
        <v>44815</v>
      </c>
    </row>
    <row r="493" spans="1:4" x14ac:dyDescent="0.25">
      <c r="A493">
        <v>78</v>
      </c>
      <c r="B493" t="s">
        <v>9</v>
      </c>
      <c r="C493">
        <v>525.18631289999996</v>
      </c>
      <c r="D493" s="1">
        <v>44763</v>
      </c>
    </row>
    <row r="494" spans="1:4" x14ac:dyDescent="0.25">
      <c r="A494">
        <v>70</v>
      </c>
      <c r="B494" t="s">
        <v>7</v>
      </c>
      <c r="C494">
        <v>406.84487560000002</v>
      </c>
      <c r="D494" s="1">
        <v>44907</v>
      </c>
    </row>
    <row r="495" spans="1:4" x14ac:dyDescent="0.25">
      <c r="A495">
        <v>18</v>
      </c>
      <c r="B495" t="s">
        <v>7</v>
      </c>
      <c r="C495">
        <v>437.32135369999997</v>
      </c>
      <c r="D495" s="1">
        <v>44912</v>
      </c>
    </row>
    <row r="496" spans="1:4" x14ac:dyDescent="0.25">
      <c r="A496">
        <v>2</v>
      </c>
      <c r="B496" t="s">
        <v>4</v>
      </c>
      <c r="C496">
        <v>389.80636179999999</v>
      </c>
      <c r="D496" s="1">
        <v>44878</v>
      </c>
    </row>
    <row r="497" spans="1:4" x14ac:dyDescent="0.25">
      <c r="A497">
        <v>72</v>
      </c>
      <c r="B497" t="s">
        <v>8</v>
      </c>
      <c r="C497">
        <v>487.52255609999997</v>
      </c>
      <c r="D497" s="1">
        <v>44610</v>
      </c>
    </row>
    <row r="498" spans="1:4" x14ac:dyDescent="0.25">
      <c r="A498">
        <v>75</v>
      </c>
      <c r="B498" t="s">
        <v>8</v>
      </c>
      <c r="C498">
        <v>471.05835180000003</v>
      </c>
      <c r="D498" s="1">
        <v>44922</v>
      </c>
    </row>
    <row r="499" spans="1:4" x14ac:dyDescent="0.25">
      <c r="A499">
        <v>21</v>
      </c>
      <c r="B499" t="s">
        <v>9</v>
      </c>
      <c r="C499">
        <v>594.45854589999999</v>
      </c>
      <c r="D499" s="1">
        <v>44593</v>
      </c>
    </row>
    <row r="500" spans="1:4" x14ac:dyDescent="0.25">
      <c r="A500">
        <v>57</v>
      </c>
      <c r="B500" t="s">
        <v>5</v>
      </c>
      <c r="C500">
        <v>571.01773790000004</v>
      </c>
      <c r="D500" s="1">
        <v>44686</v>
      </c>
    </row>
    <row r="501" spans="1:4" x14ac:dyDescent="0.25">
      <c r="A501">
        <v>71</v>
      </c>
      <c r="B501" t="s">
        <v>5</v>
      </c>
      <c r="C501">
        <v>549.9788787</v>
      </c>
      <c r="D501" s="1">
        <v>44599</v>
      </c>
    </row>
    <row r="502" spans="1:4" x14ac:dyDescent="0.25">
      <c r="A502">
        <v>87</v>
      </c>
      <c r="B502" t="s">
        <v>7</v>
      </c>
      <c r="C502">
        <v>293.424778</v>
      </c>
      <c r="D502" s="1">
        <v>44724</v>
      </c>
    </row>
    <row r="503" spans="1:4" x14ac:dyDescent="0.25">
      <c r="A503">
        <v>72</v>
      </c>
      <c r="B503" t="s">
        <v>8</v>
      </c>
      <c r="C503">
        <v>531.33896189999996</v>
      </c>
      <c r="D503" s="1">
        <v>44817</v>
      </c>
    </row>
    <row r="504" spans="1:4" x14ac:dyDescent="0.25">
      <c r="A504">
        <v>59</v>
      </c>
      <c r="B504" t="s">
        <v>13</v>
      </c>
      <c r="C504">
        <v>306.15937659999997</v>
      </c>
      <c r="D504" s="1">
        <v>44728</v>
      </c>
    </row>
    <row r="505" spans="1:4" x14ac:dyDescent="0.25">
      <c r="A505">
        <v>74</v>
      </c>
      <c r="B505" t="s">
        <v>9</v>
      </c>
      <c r="C505">
        <v>737.70803430000001</v>
      </c>
      <c r="D505" s="1">
        <v>44693</v>
      </c>
    </row>
    <row r="506" spans="1:4" x14ac:dyDescent="0.25">
      <c r="A506">
        <v>37</v>
      </c>
      <c r="B506" t="s">
        <v>6</v>
      </c>
      <c r="C506">
        <v>509.52575630000001</v>
      </c>
      <c r="D506" s="1">
        <v>44789</v>
      </c>
    </row>
    <row r="507" spans="1:4" x14ac:dyDescent="0.25">
      <c r="A507">
        <v>81</v>
      </c>
      <c r="B507" t="s">
        <v>13</v>
      </c>
      <c r="C507">
        <v>377.17401410000002</v>
      </c>
      <c r="D507" s="1">
        <v>44734</v>
      </c>
    </row>
    <row r="508" spans="1:4" x14ac:dyDescent="0.25">
      <c r="A508">
        <v>55</v>
      </c>
      <c r="B508" t="s">
        <v>5</v>
      </c>
      <c r="C508">
        <v>499.95472030000002</v>
      </c>
      <c r="D508" s="1">
        <v>44688</v>
      </c>
    </row>
    <row r="509" spans="1:4" x14ac:dyDescent="0.25">
      <c r="A509">
        <v>6</v>
      </c>
      <c r="B509" t="s">
        <v>8</v>
      </c>
      <c r="C509">
        <v>518.16233309999996</v>
      </c>
      <c r="D509" s="1">
        <v>44786</v>
      </c>
    </row>
    <row r="510" spans="1:4" x14ac:dyDescent="0.25">
      <c r="A510">
        <v>40</v>
      </c>
      <c r="B510" t="s">
        <v>6</v>
      </c>
      <c r="C510">
        <v>605.91296460000001</v>
      </c>
      <c r="D510" s="1">
        <v>44729</v>
      </c>
    </row>
    <row r="511" spans="1:4" x14ac:dyDescent="0.25">
      <c r="A511">
        <v>6</v>
      </c>
      <c r="B511" t="s">
        <v>13</v>
      </c>
      <c r="C511">
        <v>616.57936889999996</v>
      </c>
      <c r="D511" s="1">
        <v>44620</v>
      </c>
    </row>
    <row r="512" spans="1:4" x14ac:dyDescent="0.25">
      <c r="A512">
        <v>28</v>
      </c>
      <c r="B512" t="s">
        <v>5</v>
      </c>
      <c r="C512">
        <v>117.480723</v>
      </c>
      <c r="D512" s="1">
        <v>44735</v>
      </c>
    </row>
    <row r="513" spans="1:4" x14ac:dyDescent="0.25">
      <c r="A513">
        <v>32</v>
      </c>
      <c r="B513" t="s">
        <v>6</v>
      </c>
      <c r="C513">
        <v>597.34126590000005</v>
      </c>
      <c r="D513" s="1">
        <v>44598</v>
      </c>
    </row>
    <row r="514" spans="1:4" x14ac:dyDescent="0.25">
      <c r="A514">
        <v>49</v>
      </c>
      <c r="B514" t="s">
        <v>9</v>
      </c>
      <c r="C514">
        <v>312.52908500000001</v>
      </c>
      <c r="D514" s="1">
        <v>44788</v>
      </c>
    </row>
    <row r="515" spans="1:4" x14ac:dyDescent="0.25">
      <c r="A515">
        <v>99</v>
      </c>
      <c r="B515" t="s">
        <v>9</v>
      </c>
      <c r="C515">
        <v>569.63007900000002</v>
      </c>
      <c r="D515" s="1">
        <v>44888</v>
      </c>
    </row>
    <row r="516" spans="1:4" x14ac:dyDescent="0.25">
      <c r="A516">
        <v>92</v>
      </c>
      <c r="B516" t="s">
        <v>11</v>
      </c>
      <c r="C516">
        <v>344.82907940000001</v>
      </c>
      <c r="D516" s="1">
        <v>44782</v>
      </c>
    </row>
    <row r="517" spans="1:4" x14ac:dyDescent="0.25">
      <c r="A517">
        <v>84</v>
      </c>
      <c r="B517" t="s">
        <v>11</v>
      </c>
      <c r="C517">
        <v>478.2797243</v>
      </c>
      <c r="D517" s="1">
        <v>44783</v>
      </c>
    </row>
    <row r="518" spans="1:4" x14ac:dyDescent="0.25">
      <c r="A518">
        <v>65</v>
      </c>
      <c r="B518" t="s">
        <v>10</v>
      </c>
      <c r="C518">
        <v>520.03340470000001</v>
      </c>
      <c r="D518" s="1">
        <v>44665</v>
      </c>
    </row>
    <row r="519" spans="1:4" x14ac:dyDescent="0.25">
      <c r="A519">
        <v>69</v>
      </c>
      <c r="B519" t="s">
        <v>12</v>
      </c>
      <c r="C519">
        <v>724.44600439999999</v>
      </c>
      <c r="D519" s="1">
        <v>44894</v>
      </c>
    </row>
    <row r="520" spans="1:4" x14ac:dyDescent="0.25">
      <c r="A520">
        <v>75</v>
      </c>
      <c r="B520" t="s">
        <v>5</v>
      </c>
      <c r="C520">
        <v>440.18651640000002</v>
      </c>
      <c r="D520" s="1">
        <v>44903</v>
      </c>
    </row>
    <row r="521" spans="1:4" x14ac:dyDescent="0.25">
      <c r="A521">
        <v>47</v>
      </c>
      <c r="B521" t="s">
        <v>8</v>
      </c>
      <c r="C521">
        <v>737.63988519999998</v>
      </c>
      <c r="D521" s="1">
        <v>44638</v>
      </c>
    </row>
    <row r="522" spans="1:4" x14ac:dyDescent="0.25">
      <c r="A522">
        <v>20</v>
      </c>
      <c r="B522" t="s">
        <v>5</v>
      </c>
      <c r="C522">
        <v>357.7144763</v>
      </c>
      <c r="D522" s="1">
        <v>44619</v>
      </c>
    </row>
    <row r="523" spans="1:4" x14ac:dyDescent="0.25">
      <c r="A523">
        <v>2</v>
      </c>
      <c r="B523" t="s">
        <v>4</v>
      </c>
      <c r="C523">
        <v>458.23370360000001</v>
      </c>
      <c r="D523" s="1">
        <v>44810</v>
      </c>
    </row>
    <row r="524" spans="1:4" x14ac:dyDescent="0.25">
      <c r="A524">
        <v>62</v>
      </c>
      <c r="B524" t="s">
        <v>4</v>
      </c>
      <c r="C524">
        <v>432.80998670000002</v>
      </c>
      <c r="D524" s="1">
        <v>44769</v>
      </c>
    </row>
    <row r="525" spans="1:4" x14ac:dyDescent="0.25">
      <c r="A525">
        <v>63</v>
      </c>
      <c r="B525" t="s">
        <v>12</v>
      </c>
      <c r="C525">
        <v>406.06920600000001</v>
      </c>
      <c r="D525" s="1">
        <v>44670</v>
      </c>
    </row>
    <row r="526" spans="1:4" x14ac:dyDescent="0.25">
      <c r="A526">
        <v>62</v>
      </c>
      <c r="B526" t="s">
        <v>7</v>
      </c>
      <c r="C526">
        <v>550.0342531</v>
      </c>
      <c r="D526" s="1">
        <v>44600</v>
      </c>
    </row>
    <row r="527" spans="1:4" x14ac:dyDescent="0.25">
      <c r="A527">
        <v>10</v>
      </c>
      <c r="B527" t="s">
        <v>9</v>
      </c>
      <c r="C527">
        <v>549.57794309999997</v>
      </c>
      <c r="D527" s="1">
        <v>44654</v>
      </c>
    </row>
    <row r="528" spans="1:4" x14ac:dyDescent="0.25">
      <c r="A528">
        <v>59</v>
      </c>
      <c r="B528" t="s">
        <v>8</v>
      </c>
      <c r="C528">
        <v>270.77342529999999</v>
      </c>
      <c r="D528" s="1">
        <v>44882</v>
      </c>
    </row>
    <row r="529" spans="1:4" x14ac:dyDescent="0.25">
      <c r="A529">
        <v>49</v>
      </c>
      <c r="B529" t="s">
        <v>9</v>
      </c>
      <c r="C529">
        <v>403.74942349999998</v>
      </c>
      <c r="D529" s="1">
        <v>44920</v>
      </c>
    </row>
    <row r="530" spans="1:4" x14ac:dyDescent="0.25">
      <c r="A530">
        <v>7</v>
      </c>
      <c r="B530" t="s">
        <v>6</v>
      </c>
      <c r="C530">
        <v>331.41603900000001</v>
      </c>
      <c r="D530" s="1">
        <v>44831</v>
      </c>
    </row>
    <row r="531" spans="1:4" x14ac:dyDescent="0.25">
      <c r="A531">
        <v>61</v>
      </c>
      <c r="B531" t="s">
        <v>4</v>
      </c>
      <c r="C531">
        <v>622.09258580000005</v>
      </c>
      <c r="D531" s="1">
        <v>44744</v>
      </c>
    </row>
    <row r="532" spans="1:4" x14ac:dyDescent="0.25">
      <c r="A532">
        <v>38</v>
      </c>
      <c r="B532" t="s">
        <v>7</v>
      </c>
      <c r="C532">
        <v>585.89559640000004</v>
      </c>
      <c r="D532" s="1">
        <v>44877</v>
      </c>
    </row>
    <row r="533" spans="1:4" x14ac:dyDescent="0.25">
      <c r="A533">
        <v>36</v>
      </c>
      <c r="B533" t="s">
        <v>4</v>
      </c>
      <c r="C533">
        <v>549.51250689999995</v>
      </c>
      <c r="D533" s="1">
        <v>44786</v>
      </c>
    </row>
    <row r="534" spans="1:4" x14ac:dyDescent="0.25">
      <c r="A534">
        <v>23</v>
      </c>
      <c r="B534" t="s">
        <v>7</v>
      </c>
      <c r="C534">
        <v>689.63157030000002</v>
      </c>
      <c r="D534" s="1">
        <v>44787</v>
      </c>
    </row>
    <row r="535" spans="1:4" x14ac:dyDescent="0.25">
      <c r="A535">
        <v>34</v>
      </c>
      <c r="B535" t="s">
        <v>5</v>
      </c>
      <c r="C535">
        <v>504.5842839</v>
      </c>
      <c r="D535" s="1">
        <v>44894</v>
      </c>
    </row>
    <row r="536" spans="1:4" x14ac:dyDescent="0.25">
      <c r="A536">
        <v>88</v>
      </c>
      <c r="B536" t="s">
        <v>10</v>
      </c>
      <c r="C536">
        <v>532.32208360000004</v>
      </c>
      <c r="D536" s="1">
        <v>44673</v>
      </c>
    </row>
    <row r="537" spans="1:4" x14ac:dyDescent="0.25">
      <c r="A537">
        <v>4</v>
      </c>
      <c r="B537" t="s">
        <v>4</v>
      </c>
      <c r="C537">
        <v>390.27467789999997</v>
      </c>
      <c r="D537" s="1">
        <v>44606</v>
      </c>
    </row>
    <row r="538" spans="1:4" x14ac:dyDescent="0.25">
      <c r="A538">
        <v>54</v>
      </c>
      <c r="B538" t="s">
        <v>9</v>
      </c>
      <c r="C538">
        <v>711.92200549999995</v>
      </c>
      <c r="D538" s="1">
        <v>44713</v>
      </c>
    </row>
    <row r="539" spans="1:4" x14ac:dyDescent="0.25">
      <c r="A539">
        <v>29</v>
      </c>
      <c r="B539" t="s">
        <v>10</v>
      </c>
      <c r="C539">
        <v>479.137472</v>
      </c>
      <c r="D539" s="1">
        <v>44578</v>
      </c>
    </row>
    <row r="540" spans="1:4" x14ac:dyDescent="0.25">
      <c r="A540">
        <v>58</v>
      </c>
      <c r="B540" t="s">
        <v>6</v>
      </c>
      <c r="C540">
        <v>441.2730621</v>
      </c>
      <c r="D540" s="1">
        <v>44714</v>
      </c>
    </row>
    <row r="541" spans="1:4" x14ac:dyDescent="0.25">
      <c r="A541">
        <v>87</v>
      </c>
      <c r="B541" t="s">
        <v>13</v>
      </c>
      <c r="C541">
        <v>451.57929380000002</v>
      </c>
      <c r="D541" s="1">
        <v>44837</v>
      </c>
    </row>
    <row r="542" spans="1:4" x14ac:dyDescent="0.25">
      <c r="A542">
        <v>75</v>
      </c>
      <c r="B542" t="s">
        <v>11</v>
      </c>
      <c r="C542">
        <v>722.91495010000006</v>
      </c>
      <c r="D542" s="1">
        <v>44613</v>
      </c>
    </row>
    <row r="543" spans="1:4" x14ac:dyDescent="0.25">
      <c r="A543">
        <v>97</v>
      </c>
      <c r="B543" t="s">
        <v>4</v>
      </c>
      <c r="C543">
        <v>394.51078460000002</v>
      </c>
      <c r="D543" s="1">
        <v>44681</v>
      </c>
    </row>
    <row r="544" spans="1:4" x14ac:dyDescent="0.25">
      <c r="A544">
        <v>56</v>
      </c>
      <c r="B544" t="s">
        <v>13</v>
      </c>
      <c r="C544">
        <v>546.54078809999999</v>
      </c>
      <c r="D544" s="1">
        <v>44852</v>
      </c>
    </row>
    <row r="545" spans="1:4" x14ac:dyDescent="0.25">
      <c r="A545">
        <v>51</v>
      </c>
      <c r="B545" t="s">
        <v>10</v>
      </c>
      <c r="C545">
        <v>480.6581564</v>
      </c>
      <c r="D545" s="1">
        <v>44895</v>
      </c>
    </row>
    <row r="546" spans="1:4" x14ac:dyDescent="0.25">
      <c r="A546">
        <v>50</v>
      </c>
      <c r="B546" t="s">
        <v>8</v>
      </c>
      <c r="C546">
        <v>596.53641749999997</v>
      </c>
      <c r="D546" s="1">
        <v>44700</v>
      </c>
    </row>
    <row r="547" spans="1:4" x14ac:dyDescent="0.25">
      <c r="A547">
        <v>48</v>
      </c>
      <c r="B547" t="s">
        <v>6</v>
      </c>
      <c r="C547">
        <v>586.76121060000003</v>
      </c>
      <c r="D547" s="1">
        <v>44693</v>
      </c>
    </row>
    <row r="548" spans="1:4" x14ac:dyDescent="0.25">
      <c r="A548">
        <v>3</v>
      </c>
      <c r="B548" t="s">
        <v>11</v>
      </c>
      <c r="C548">
        <v>392.45436009999997</v>
      </c>
      <c r="D548" s="1">
        <v>44899</v>
      </c>
    </row>
    <row r="549" spans="1:4" x14ac:dyDescent="0.25">
      <c r="A549">
        <v>33</v>
      </c>
      <c r="B549" t="s">
        <v>6</v>
      </c>
      <c r="C549">
        <v>260.38876470000002</v>
      </c>
      <c r="D549" s="1">
        <v>44805</v>
      </c>
    </row>
    <row r="550" spans="1:4" x14ac:dyDescent="0.25">
      <c r="A550">
        <v>94</v>
      </c>
      <c r="B550" t="s">
        <v>13</v>
      </c>
      <c r="C550">
        <v>684.5948942</v>
      </c>
      <c r="D550" s="1">
        <v>44607</v>
      </c>
    </row>
    <row r="551" spans="1:4" x14ac:dyDescent="0.25">
      <c r="A551">
        <v>34</v>
      </c>
      <c r="B551" t="s">
        <v>13</v>
      </c>
      <c r="C551">
        <v>714.3414123</v>
      </c>
      <c r="D551" s="1">
        <v>44670</v>
      </c>
    </row>
    <row r="552" spans="1:4" x14ac:dyDescent="0.25">
      <c r="A552">
        <v>66</v>
      </c>
      <c r="B552" t="s">
        <v>11</v>
      </c>
      <c r="C552">
        <v>435.0403445</v>
      </c>
      <c r="D552" s="1">
        <v>44597</v>
      </c>
    </row>
    <row r="553" spans="1:4" x14ac:dyDescent="0.25">
      <c r="A553">
        <v>64</v>
      </c>
      <c r="B553" t="s">
        <v>6</v>
      </c>
      <c r="C553">
        <v>662.75373720000005</v>
      </c>
      <c r="D553" s="1">
        <v>44792</v>
      </c>
    </row>
    <row r="554" spans="1:4" x14ac:dyDescent="0.25">
      <c r="A554">
        <v>40</v>
      </c>
      <c r="B554" t="s">
        <v>6</v>
      </c>
      <c r="C554">
        <v>562.61290770000005</v>
      </c>
      <c r="D554" s="1">
        <v>44628</v>
      </c>
    </row>
    <row r="555" spans="1:4" x14ac:dyDescent="0.25">
      <c r="A555">
        <v>58</v>
      </c>
      <c r="B555" t="s">
        <v>13</v>
      </c>
      <c r="C555">
        <v>476.97766639999998</v>
      </c>
      <c r="D555" s="1">
        <v>44921</v>
      </c>
    </row>
    <row r="556" spans="1:4" x14ac:dyDescent="0.25">
      <c r="A556">
        <v>20</v>
      </c>
      <c r="B556" t="s">
        <v>7</v>
      </c>
      <c r="C556">
        <v>572.76509599999997</v>
      </c>
      <c r="D556" s="1">
        <v>44680</v>
      </c>
    </row>
    <row r="557" spans="1:4" x14ac:dyDescent="0.25">
      <c r="A557">
        <v>78</v>
      </c>
      <c r="B557" t="s">
        <v>4</v>
      </c>
      <c r="C557">
        <v>499.61432559999997</v>
      </c>
      <c r="D557" s="1">
        <v>44648</v>
      </c>
    </row>
    <row r="558" spans="1:4" x14ac:dyDescent="0.25">
      <c r="A558">
        <v>25</v>
      </c>
      <c r="B558" t="s">
        <v>5</v>
      </c>
      <c r="C558">
        <v>568.22602400000005</v>
      </c>
      <c r="D558" s="1">
        <v>44915</v>
      </c>
    </row>
    <row r="559" spans="1:4" x14ac:dyDescent="0.25">
      <c r="A559">
        <v>71</v>
      </c>
      <c r="B559" t="s">
        <v>11</v>
      </c>
      <c r="C559">
        <v>526.67503280000005</v>
      </c>
      <c r="D559" s="1">
        <v>44632</v>
      </c>
    </row>
    <row r="560" spans="1:4" x14ac:dyDescent="0.25">
      <c r="A560">
        <v>40</v>
      </c>
      <c r="B560" t="s">
        <v>10</v>
      </c>
      <c r="C560">
        <v>544.2835321</v>
      </c>
      <c r="D560" s="1">
        <v>44589</v>
      </c>
    </row>
    <row r="561" spans="1:4" x14ac:dyDescent="0.25">
      <c r="A561">
        <v>61</v>
      </c>
      <c r="B561" t="s">
        <v>7</v>
      </c>
      <c r="C561">
        <v>483.9904373</v>
      </c>
      <c r="D561" s="1">
        <v>44742</v>
      </c>
    </row>
    <row r="562" spans="1:4" x14ac:dyDescent="0.25">
      <c r="A562">
        <v>99</v>
      </c>
      <c r="B562" t="s">
        <v>13</v>
      </c>
      <c r="C562">
        <v>530.27330830000005</v>
      </c>
      <c r="D562" s="1">
        <v>44723</v>
      </c>
    </row>
    <row r="563" spans="1:4" x14ac:dyDescent="0.25">
      <c r="A563">
        <v>95</v>
      </c>
      <c r="B563" t="s">
        <v>9</v>
      </c>
      <c r="C563">
        <v>643.17554429999996</v>
      </c>
      <c r="D563" s="1">
        <v>44742</v>
      </c>
    </row>
    <row r="564" spans="1:4" x14ac:dyDescent="0.25">
      <c r="A564">
        <v>22</v>
      </c>
      <c r="B564" t="s">
        <v>7</v>
      </c>
      <c r="C564">
        <v>576.03643090000003</v>
      </c>
      <c r="D564" s="1">
        <v>44871</v>
      </c>
    </row>
    <row r="565" spans="1:4" x14ac:dyDescent="0.25">
      <c r="A565">
        <v>80</v>
      </c>
      <c r="B565" t="s">
        <v>12</v>
      </c>
      <c r="C565">
        <v>545.78848889999995</v>
      </c>
      <c r="D565" s="1">
        <v>44637</v>
      </c>
    </row>
    <row r="566" spans="1:4" x14ac:dyDescent="0.25">
      <c r="A566">
        <v>86</v>
      </c>
      <c r="B566" t="s">
        <v>12</v>
      </c>
      <c r="C566">
        <v>524.7813218</v>
      </c>
      <c r="D566" s="1">
        <v>44830</v>
      </c>
    </row>
    <row r="567" spans="1:4" x14ac:dyDescent="0.25">
      <c r="A567">
        <v>93</v>
      </c>
      <c r="B567" t="s">
        <v>4</v>
      </c>
      <c r="C567">
        <v>498.83206510000002</v>
      </c>
      <c r="D567" s="1">
        <v>44701</v>
      </c>
    </row>
    <row r="568" spans="1:4" x14ac:dyDescent="0.25">
      <c r="A568">
        <v>56</v>
      </c>
      <c r="B568" t="s">
        <v>8</v>
      </c>
      <c r="C568">
        <v>351.95356550000002</v>
      </c>
      <c r="D568" s="1">
        <v>44830</v>
      </c>
    </row>
    <row r="569" spans="1:4" x14ac:dyDescent="0.25">
      <c r="A569">
        <v>33</v>
      </c>
      <c r="B569" t="s">
        <v>5</v>
      </c>
      <c r="C569">
        <v>411.97927570000002</v>
      </c>
      <c r="D569" s="1">
        <v>44882</v>
      </c>
    </row>
    <row r="570" spans="1:4" x14ac:dyDescent="0.25">
      <c r="A570">
        <v>64</v>
      </c>
      <c r="B570" t="s">
        <v>7</v>
      </c>
      <c r="C570">
        <v>599.85932730000002</v>
      </c>
      <c r="D570" s="1">
        <v>44685</v>
      </c>
    </row>
    <row r="571" spans="1:4" x14ac:dyDescent="0.25">
      <c r="A571">
        <v>53</v>
      </c>
      <c r="B571" t="s">
        <v>13</v>
      </c>
      <c r="C571">
        <v>520.88545069999998</v>
      </c>
      <c r="D571" s="1">
        <v>44601</v>
      </c>
    </row>
    <row r="572" spans="1:4" x14ac:dyDescent="0.25">
      <c r="A572">
        <v>31</v>
      </c>
      <c r="B572" t="s">
        <v>4</v>
      </c>
      <c r="C572">
        <v>449.15567850000002</v>
      </c>
      <c r="D572" s="1">
        <v>44661</v>
      </c>
    </row>
    <row r="573" spans="1:4" x14ac:dyDescent="0.25">
      <c r="A573">
        <v>46</v>
      </c>
      <c r="B573" t="s">
        <v>10</v>
      </c>
      <c r="C573">
        <v>565.33947950000004</v>
      </c>
      <c r="D573" s="1">
        <v>44906</v>
      </c>
    </row>
    <row r="574" spans="1:4" x14ac:dyDescent="0.25">
      <c r="A574">
        <v>72</v>
      </c>
      <c r="B574" t="s">
        <v>7</v>
      </c>
      <c r="C574">
        <v>399.00676520000002</v>
      </c>
      <c r="D574" s="1">
        <v>44629</v>
      </c>
    </row>
    <row r="575" spans="1:4" x14ac:dyDescent="0.25">
      <c r="A575">
        <v>24</v>
      </c>
      <c r="B575" t="s">
        <v>4</v>
      </c>
      <c r="C575">
        <v>520.33245079999995</v>
      </c>
      <c r="D575" s="1">
        <v>44736</v>
      </c>
    </row>
    <row r="576" spans="1:4" x14ac:dyDescent="0.25">
      <c r="A576">
        <v>60</v>
      </c>
      <c r="B576" t="s">
        <v>13</v>
      </c>
      <c r="C576">
        <v>416.54886269999997</v>
      </c>
      <c r="D576" s="1">
        <v>44737</v>
      </c>
    </row>
    <row r="577" spans="1:4" x14ac:dyDescent="0.25">
      <c r="A577">
        <v>30</v>
      </c>
      <c r="B577" t="s">
        <v>11</v>
      </c>
      <c r="C577">
        <v>437.47422280000001</v>
      </c>
      <c r="D577" s="1">
        <v>44868</v>
      </c>
    </row>
    <row r="578" spans="1:4" x14ac:dyDescent="0.25">
      <c r="A578">
        <v>23</v>
      </c>
      <c r="B578" t="s">
        <v>10</v>
      </c>
      <c r="C578">
        <v>551.14770820000001</v>
      </c>
      <c r="D578" s="1">
        <v>44862</v>
      </c>
    </row>
    <row r="579" spans="1:4" x14ac:dyDescent="0.25">
      <c r="A579">
        <v>96</v>
      </c>
      <c r="B579" t="s">
        <v>9</v>
      </c>
      <c r="C579">
        <v>440.0650718</v>
      </c>
      <c r="D579" s="1">
        <v>44711</v>
      </c>
    </row>
    <row r="580" spans="1:4" x14ac:dyDescent="0.25">
      <c r="A580">
        <v>17</v>
      </c>
      <c r="B580" t="s">
        <v>11</v>
      </c>
      <c r="C580">
        <v>490.6123599</v>
      </c>
      <c r="D580" s="1">
        <v>44624</v>
      </c>
    </row>
    <row r="581" spans="1:4" x14ac:dyDescent="0.25">
      <c r="A581">
        <v>90</v>
      </c>
      <c r="B581" t="s">
        <v>9</v>
      </c>
      <c r="C581">
        <v>531.26263240000003</v>
      </c>
      <c r="D581" s="1">
        <v>44879</v>
      </c>
    </row>
    <row r="582" spans="1:4" x14ac:dyDescent="0.25">
      <c r="A582">
        <v>59</v>
      </c>
      <c r="B582" t="s">
        <v>10</v>
      </c>
      <c r="C582">
        <v>387.28095230000002</v>
      </c>
      <c r="D582" s="1">
        <v>44572</v>
      </c>
    </row>
    <row r="583" spans="1:4" x14ac:dyDescent="0.25">
      <c r="A583">
        <v>57</v>
      </c>
      <c r="B583" t="s">
        <v>9</v>
      </c>
      <c r="C583">
        <v>737.89054009999995</v>
      </c>
      <c r="D583" s="1">
        <v>44795</v>
      </c>
    </row>
    <row r="584" spans="1:4" x14ac:dyDescent="0.25">
      <c r="A584">
        <v>43</v>
      </c>
      <c r="B584" t="s">
        <v>11</v>
      </c>
      <c r="C584">
        <v>604.61353220000001</v>
      </c>
      <c r="D584" s="1">
        <v>44650</v>
      </c>
    </row>
    <row r="585" spans="1:4" x14ac:dyDescent="0.25">
      <c r="A585">
        <v>23</v>
      </c>
      <c r="B585" t="s">
        <v>13</v>
      </c>
      <c r="C585">
        <v>529.78115419999995</v>
      </c>
      <c r="D585" s="1">
        <v>44844</v>
      </c>
    </row>
    <row r="586" spans="1:4" x14ac:dyDescent="0.25">
      <c r="A586">
        <v>90</v>
      </c>
      <c r="B586" t="s">
        <v>4</v>
      </c>
      <c r="C586">
        <v>321.25105839999998</v>
      </c>
      <c r="D586" s="1">
        <v>44769</v>
      </c>
    </row>
    <row r="587" spans="1:4" x14ac:dyDescent="0.25">
      <c r="A587">
        <v>100</v>
      </c>
      <c r="B587" t="s">
        <v>8</v>
      </c>
      <c r="C587">
        <v>600.44889320000004</v>
      </c>
      <c r="D587" s="1">
        <v>44923</v>
      </c>
    </row>
    <row r="588" spans="1:4" x14ac:dyDescent="0.25">
      <c r="A588">
        <v>45</v>
      </c>
      <c r="B588" t="s">
        <v>11</v>
      </c>
      <c r="C588">
        <v>624.42118800000003</v>
      </c>
      <c r="D588" s="1">
        <v>44651</v>
      </c>
    </row>
    <row r="589" spans="1:4" x14ac:dyDescent="0.25">
      <c r="A589">
        <v>8</v>
      </c>
      <c r="B589" t="s">
        <v>7</v>
      </c>
      <c r="C589">
        <v>551.16851369999995</v>
      </c>
      <c r="D589" s="1">
        <v>44608</v>
      </c>
    </row>
    <row r="590" spans="1:4" x14ac:dyDescent="0.25">
      <c r="A590">
        <v>79</v>
      </c>
      <c r="B590" t="s">
        <v>5</v>
      </c>
      <c r="C590">
        <v>547.4771131</v>
      </c>
      <c r="D590" s="1">
        <v>44683</v>
      </c>
    </row>
    <row r="591" spans="1:4" x14ac:dyDescent="0.25">
      <c r="A591">
        <v>36</v>
      </c>
      <c r="B591" t="s">
        <v>4</v>
      </c>
      <c r="C591">
        <v>448.31292280000002</v>
      </c>
      <c r="D591" s="1">
        <v>44814</v>
      </c>
    </row>
    <row r="592" spans="1:4" x14ac:dyDescent="0.25">
      <c r="A592">
        <v>67</v>
      </c>
      <c r="B592" t="s">
        <v>13</v>
      </c>
      <c r="C592">
        <v>334.02510260000003</v>
      </c>
      <c r="D592" s="1">
        <v>44868</v>
      </c>
    </row>
    <row r="593" spans="1:4" x14ac:dyDescent="0.25">
      <c r="A593">
        <v>39</v>
      </c>
      <c r="B593" t="s">
        <v>13</v>
      </c>
      <c r="C593">
        <v>522.40086789999998</v>
      </c>
      <c r="D593" s="1">
        <v>44596</v>
      </c>
    </row>
    <row r="594" spans="1:4" x14ac:dyDescent="0.25">
      <c r="A594">
        <v>33</v>
      </c>
      <c r="B594" t="s">
        <v>12</v>
      </c>
      <c r="C594">
        <v>680.72487599999999</v>
      </c>
      <c r="D594" s="1">
        <v>44776</v>
      </c>
    </row>
    <row r="595" spans="1:4" x14ac:dyDescent="0.25">
      <c r="A595">
        <v>38</v>
      </c>
      <c r="B595" t="s">
        <v>8</v>
      </c>
      <c r="C595">
        <v>518.97257649999995</v>
      </c>
      <c r="D595" s="1">
        <v>44617</v>
      </c>
    </row>
    <row r="596" spans="1:4" x14ac:dyDescent="0.25">
      <c r="A596">
        <v>90</v>
      </c>
      <c r="B596" t="s">
        <v>11</v>
      </c>
      <c r="C596">
        <v>383.70737300000002</v>
      </c>
      <c r="D596" s="1">
        <v>44661</v>
      </c>
    </row>
    <row r="597" spans="1:4" x14ac:dyDescent="0.25">
      <c r="A597">
        <v>28</v>
      </c>
      <c r="B597" t="s">
        <v>7</v>
      </c>
      <c r="C597">
        <v>801.76214349999998</v>
      </c>
      <c r="D597" s="1">
        <v>44622</v>
      </c>
    </row>
    <row r="598" spans="1:4" x14ac:dyDescent="0.25">
      <c r="A598">
        <v>90</v>
      </c>
      <c r="B598" t="s">
        <v>5</v>
      </c>
      <c r="C598">
        <v>461.42786330000001</v>
      </c>
      <c r="D598" s="1">
        <v>44856</v>
      </c>
    </row>
    <row r="599" spans="1:4" x14ac:dyDescent="0.25">
      <c r="A599">
        <v>81</v>
      </c>
      <c r="B599" t="s">
        <v>4</v>
      </c>
      <c r="C599">
        <v>556.27498309999999</v>
      </c>
      <c r="D599" s="1">
        <v>44834</v>
      </c>
    </row>
    <row r="600" spans="1:4" x14ac:dyDescent="0.25">
      <c r="A600">
        <v>87</v>
      </c>
      <c r="B600" t="s">
        <v>9</v>
      </c>
      <c r="C600">
        <v>588.62009209999997</v>
      </c>
      <c r="D600" s="1">
        <v>44707</v>
      </c>
    </row>
    <row r="601" spans="1:4" x14ac:dyDescent="0.25">
      <c r="A601">
        <v>53</v>
      </c>
      <c r="B601" t="s">
        <v>8</v>
      </c>
      <c r="C601">
        <v>464.35342020000002</v>
      </c>
      <c r="D601" s="1">
        <v>44837</v>
      </c>
    </row>
    <row r="602" spans="1:4" x14ac:dyDescent="0.25">
      <c r="A602">
        <v>10</v>
      </c>
      <c r="B602" t="s">
        <v>7</v>
      </c>
      <c r="C602">
        <v>524.90985000000001</v>
      </c>
      <c r="D602" s="1">
        <v>44762</v>
      </c>
    </row>
    <row r="603" spans="1:4" x14ac:dyDescent="0.25">
      <c r="A603">
        <v>41</v>
      </c>
      <c r="B603" t="s">
        <v>7</v>
      </c>
      <c r="C603">
        <v>463.0827926</v>
      </c>
      <c r="D603" s="1">
        <v>44880</v>
      </c>
    </row>
    <row r="604" spans="1:4" x14ac:dyDescent="0.25">
      <c r="A604">
        <v>8</v>
      </c>
      <c r="B604" t="s">
        <v>10</v>
      </c>
      <c r="C604">
        <v>504.1631041</v>
      </c>
      <c r="D604" s="1">
        <v>44563</v>
      </c>
    </row>
    <row r="605" spans="1:4" x14ac:dyDescent="0.25">
      <c r="A605">
        <v>1</v>
      </c>
      <c r="B605" t="s">
        <v>13</v>
      </c>
      <c r="C605">
        <v>621.73769589999995</v>
      </c>
      <c r="D605" s="1">
        <v>44925</v>
      </c>
    </row>
    <row r="606" spans="1:4" x14ac:dyDescent="0.25">
      <c r="A606">
        <v>80</v>
      </c>
      <c r="B606" t="s">
        <v>8</v>
      </c>
      <c r="C606">
        <v>595.89235429999997</v>
      </c>
      <c r="D606" s="1">
        <v>44651</v>
      </c>
    </row>
    <row r="607" spans="1:4" x14ac:dyDescent="0.25">
      <c r="A607">
        <v>66</v>
      </c>
      <c r="B607" t="s">
        <v>12</v>
      </c>
      <c r="C607">
        <v>456.394317</v>
      </c>
      <c r="D607" s="1">
        <v>44564</v>
      </c>
    </row>
    <row r="608" spans="1:4" x14ac:dyDescent="0.25">
      <c r="A608">
        <v>78</v>
      </c>
      <c r="B608" t="s">
        <v>10</v>
      </c>
      <c r="C608">
        <v>643.98079180000002</v>
      </c>
      <c r="D608" s="1">
        <v>44630</v>
      </c>
    </row>
    <row r="609" spans="1:4" x14ac:dyDescent="0.25">
      <c r="A609">
        <v>12</v>
      </c>
      <c r="B609" t="s">
        <v>5</v>
      </c>
      <c r="C609">
        <v>581.65593120000005</v>
      </c>
      <c r="D609" s="1">
        <v>44711</v>
      </c>
    </row>
    <row r="610" spans="1:4" x14ac:dyDescent="0.25">
      <c r="A610">
        <v>90</v>
      </c>
      <c r="B610" t="s">
        <v>12</v>
      </c>
      <c r="C610">
        <v>324.20227160000002</v>
      </c>
      <c r="D610" s="1">
        <v>44749</v>
      </c>
    </row>
    <row r="611" spans="1:4" x14ac:dyDescent="0.25">
      <c r="A611">
        <v>72</v>
      </c>
      <c r="B611" t="s">
        <v>10</v>
      </c>
      <c r="C611">
        <v>495.19585089999998</v>
      </c>
      <c r="D611" s="1">
        <v>44907</v>
      </c>
    </row>
    <row r="612" spans="1:4" x14ac:dyDescent="0.25">
      <c r="A612">
        <v>41</v>
      </c>
      <c r="B612" t="s">
        <v>10</v>
      </c>
      <c r="C612">
        <v>649.44416349999995</v>
      </c>
      <c r="D612" s="1">
        <v>44690</v>
      </c>
    </row>
    <row r="613" spans="1:4" x14ac:dyDescent="0.25">
      <c r="A613">
        <v>8</v>
      </c>
      <c r="B613" t="s">
        <v>7</v>
      </c>
      <c r="C613">
        <v>185.44799639999999</v>
      </c>
      <c r="D613" s="1">
        <v>44671</v>
      </c>
    </row>
    <row r="614" spans="1:4" x14ac:dyDescent="0.25">
      <c r="A614">
        <v>57</v>
      </c>
      <c r="B614" t="s">
        <v>11</v>
      </c>
      <c r="C614">
        <v>446.68779960000001</v>
      </c>
      <c r="D614" s="1">
        <v>44710</v>
      </c>
    </row>
    <row r="615" spans="1:4" x14ac:dyDescent="0.25">
      <c r="A615">
        <v>73</v>
      </c>
      <c r="B615" t="s">
        <v>4</v>
      </c>
      <c r="C615">
        <v>595.2078209</v>
      </c>
      <c r="D615" s="1">
        <v>44671</v>
      </c>
    </row>
    <row r="616" spans="1:4" x14ac:dyDescent="0.25">
      <c r="A616">
        <v>52</v>
      </c>
      <c r="B616" t="s">
        <v>6</v>
      </c>
      <c r="C616">
        <v>546.92538209999998</v>
      </c>
      <c r="D616" s="1">
        <v>44647</v>
      </c>
    </row>
    <row r="617" spans="1:4" x14ac:dyDescent="0.25">
      <c r="A617">
        <v>97</v>
      </c>
      <c r="B617" t="s">
        <v>4</v>
      </c>
      <c r="C617">
        <v>410.45506410000002</v>
      </c>
      <c r="D617" s="1">
        <v>44899</v>
      </c>
    </row>
    <row r="618" spans="1:4" x14ac:dyDescent="0.25">
      <c r="A618">
        <v>67</v>
      </c>
      <c r="B618" t="s">
        <v>12</v>
      </c>
      <c r="C618">
        <v>553.50494119999996</v>
      </c>
      <c r="D618" s="1">
        <v>44586</v>
      </c>
    </row>
    <row r="619" spans="1:4" x14ac:dyDescent="0.25">
      <c r="A619">
        <v>40</v>
      </c>
      <c r="B619" t="s">
        <v>5</v>
      </c>
      <c r="C619">
        <v>424.90741559999998</v>
      </c>
      <c r="D619" s="1">
        <v>44572</v>
      </c>
    </row>
    <row r="620" spans="1:4" x14ac:dyDescent="0.25">
      <c r="A620">
        <v>2</v>
      </c>
      <c r="B620" t="s">
        <v>10</v>
      </c>
      <c r="C620">
        <v>395.22230999999999</v>
      </c>
      <c r="D620" s="1">
        <v>44677</v>
      </c>
    </row>
    <row r="621" spans="1:4" x14ac:dyDescent="0.25">
      <c r="A621">
        <v>65</v>
      </c>
      <c r="B621" t="s">
        <v>10</v>
      </c>
      <c r="C621">
        <v>279.94806610000001</v>
      </c>
      <c r="D621" s="1">
        <v>44877</v>
      </c>
    </row>
    <row r="622" spans="1:4" x14ac:dyDescent="0.25">
      <c r="A622">
        <v>73</v>
      </c>
      <c r="B622" t="s">
        <v>8</v>
      </c>
      <c r="C622">
        <v>585.08171170000003</v>
      </c>
      <c r="D622" s="1">
        <v>44780</v>
      </c>
    </row>
    <row r="623" spans="1:4" x14ac:dyDescent="0.25">
      <c r="A623">
        <v>7</v>
      </c>
      <c r="B623" t="s">
        <v>4</v>
      </c>
      <c r="C623">
        <v>524.11865079999995</v>
      </c>
      <c r="D623" s="1">
        <v>44570</v>
      </c>
    </row>
    <row r="624" spans="1:4" x14ac:dyDescent="0.25">
      <c r="A624">
        <v>77</v>
      </c>
      <c r="B624" t="s">
        <v>5</v>
      </c>
      <c r="C624">
        <v>526.91967639999996</v>
      </c>
      <c r="D624" s="1">
        <v>44811</v>
      </c>
    </row>
    <row r="625" spans="1:4" x14ac:dyDescent="0.25">
      <c r="A625">
        <v>29</v>
      </c>
      <c r="B625" t="s">
        <v>9</v>
      </c>
      <c r="C625">
        <v>662.45366630000001</v>
      </c>
      <c r="D625" s="1">
        <v>44854</v>
      </c>
    </row>
    <row r="626" spans="1:4" x14ac:dyDescent="0.25">
      <c r="A626">
        <v>20</v>
      </c>
      <c r="B626" t="s">
        <v>11</v>
      </c>
      <c r="C626">
        <v>382.24642219999998</v>
      </c>
      <c r="D626" s="1">
        <v>44571</v>
      </c>
    </row>
    <row r="627" spans="1:4" x14ac:dyDescent="0.25">
      <c r="A627">
        <v>78</v>
      </c>
      <c r="B627" t="s">
        <v>12</v>
      </c>
      <c r="C627">
        <v>445.4937784</v>
      </c>
      <c r="D627" s="1">
        <v>44643</v>
      </c>
    </row>
    <row r="628" spans="1:4" x14ac:dyDescent="0.25">
      <c r="A628">
        <v>80</v>
      </c>
      <c r="B628" t="s">
        <v>11</v>
      </c>
      <c r="C628">
        <v>419.02241959999998</v>
      </c>
      <c r="D628" s="1">
        <v>44916</v>
      </c>
    </row>
    <row r="629" spans="1:4" x14ac:dyDescent="0.25">
      <c r="A629">
        <v>7</v>
      </c>
      <c r="B629" t="s">
        <v>9</v>
      </c>
      <c r="C629">
        <v>488.1484074</v>
      </c>
      <c r="D629" s="1">
        <v>44645</v>
      </c>
    </row>
    <row r="630" spans="1:4" x14ac:dyDescent="0.25">
      <c r="A630">
        <v>100</v>
      </c>
      <c r="B630" t="s">
        <v>13</v>
      </c>
      <c r="C630">
        <v>724.36708499999997</v>
      </c>
      <c r="D630" s="1">
        <v>44764</v>
      </c>
    </row>
    <row r="631" spans="1:4" x14ac:dyDescent="0.25">
      <c r="A631">
        <v>45</v>
      </c>
      <c r="B631" t="s">
        <v>11</v>
      </c>
      <c r="C631">
        <v>610.53080539999996</v>
      </c>
      <c r="D631" s="1">
        <v>44793</v>
      </c>
    </row>
    <row r="632" spans="1:4" x14ac:dyDescent="0.25">
      <c r="A632">
        <v>76</v>
      </c>
      <c r="B632" t="s">
        <v>6</v>
      </c>
      <c r="C632">
        <v>409.25803789999998</v>
      </c>
      <c r="D632" s="1">
        <v>44588</v>
      </c>
    </row>
    <row r="633" spans="1:4" x14ac:dyDescent="0.25">
      <c r="A633">
        <v>25</v>
      </c>
      <c r="B633" t="s">
        <v>10</v>
      </c>
      <c r="C633">
        <v>561.00632910000002</v>
      </c>
      <c r="D633" s="1">
        <v>44788</v>
      </c>
    </row>
    <row r="634" spans="1:4" x14ac:dyDescent="0.25">
      <c r="A634">
        <v>91</v>
      </c>
      <c r="B634" t="s">
        <v>6</v>
      </c>
      <c r="C634">
        <v>391.65818289999999</v>
      </c>
      <c r="D634" s="1">
        <v>44898</v>
      </c>
    </row>
    <row r="635" spans="1:4" x14ac:dyDescent="0.25">
      <c r="A635">
        <v>13</v>
      </c>
      <c r="B635" t="s">
        <v>4</v>
      </c>
      <c r="C635">
        <v>404.0796947</v>
      </c>
      <c r="D635" s="1">
        <v>44851</v>
      </c>
    </row>
    <row r="636" spans="1:4" x14ac:dyDescent="0.25">
      <c r="A636">
        <v>84</v>
      </c>
      <c r="B636" t="s">
        <v>13</v>
      </c>
      <c r="C636">
        <v>564.33935010000005</v>
      </c>
      <c r="D636" s="1">
        <v>44648</v>
      </c>
    </row>
    <row r="637" spans="1:4" x14ac:dyDescent="0.25">
      <c r="A637">
        <v>10</v>
      </c>
      <c r="B637" t="s">
        <v>10</v>
      </c>
      <c r="C637">
        <v>605.95977900000003</v>
      </c>
      <c r="D637" s="1">
        <v>44596</v>
      </c>
    </row>
    <row r="638" spans="1:4" x14ac:dyDescent="0.25">
      <c r="A638">
        <v>94</v>
      </c>
      <c r="B638" t="s">
        <v>9</v>
      </c>
      <c r="C638">
        <v>468.78337950000002</v>
      </c>
      <c r="D638" s="1">
        <v>44868</v>
      </c>
    </row>
    <row r="639" spans="1:4" x14ac:dyDescent="0.25">
      <c r="A639">
        <v>41</v>
      </c>
      <c r="B639" t="s">
        <v>5</v>
      </c>
      <c r="C639">
        <v>311.82051189999999</v>
      </c>
      <c r="D639" s="1">
        <v>44718</v>
      </c>
    </row>
    <row r="640" spans="1:4" x14ac:dyDescent="0.25">
      <c r="A640">
        <v>12</v>
      </c>
      <c r="B640" t="s">
        <v>10</v>
      </c>
      <c r="C640">
        <v>555.17466439999998</v>
      </c>
      <c r="D640" s="1">
        <v>44653</v>
      </c>
    </row>
    <row r="641" spans="1:4" x14ac:dyDescent="0.25">
      <c r="A641">
        <v>8</v>
      </c>
      <c r="B641" t="s">
        <v>10</v>
      </c>
      <c r="C641">
        <v>537.96580259999996</v>
      </c>
      <c r="D641" s="1">
        <v>44872</v>
      </c>
    </row>
    <row r="642" spans="1:4" x14ac:dyDescent="0.25">
      <c r="A642">
        <v>71</v>
      </c>
      <c r="B642" t="s">
        <v>10</v>
      </c>
      <c r="C642">
        <v>574.67497349999996</v>
      </c>
      <c r="D642" s="1">
        <v>44731</v>
      </c>
    </row>
    <row r="643" spans="1:4" x14ac:dyDescent="0.25">
      <c r="A643">
        <v>15</v>
      </c>
      <c r="B643" t="s">
        <v>5</v>
      </c>
      <c r="C643">
        <v>344.83271180000003</v>
      </c>
      <c r="D643" s="1">
        <v>44741</v>
      </c>
    </row>
    <row r="644" spans="1:4" x14ac:dyDescent="0.25">
      <c r="A644">
        <v>83</v>
      </c>
      <c r="B644" t="s">
        <v>8</v>
      </c>
      <c r="C644">
        <v>616.01771759999997</v>
      </c>
      <c r="D644" s="1">
        <v>44745</v>
      </c>
    </row>
    <row r="645" spans="1:4" x14ac:dyDescent="0.25">
      <c r="A645">
        <v>49</v>
      </c>
      <c r="B645" t="s">
        <v>6</v>
      </c>
      <c r="C645">
        <v>527.87136729999997</v>
      </c>
      <c r="D645" s="1">
        <v>44894</v>
      </c>
    </row>
    <row r="646" spans="1:4" x14ac:dyDescent="0.25">
      <c r="A646">
        <v>39</v>
      </c>
      <c r="B646" t="s">
        <v>7</v>
      </c>
      <c r="C646">
        <v>334.05707339999998</v>
      </c>
      <c r="D646" s="1">
        <v>44674</v>
      </c>
    </row>
    <row r="647" spans="1:4" x14ac:dyDescent="0.25">
      <c r="A647">
        <v>87</v>
      </c>
      <c r="B647" t="s">
        <v>4</v>
      </c>
      <c r="C647">
        <v>500.47565809999998</v>
      </c>
      <c r="D647" s="1">
        <v>44643</v>
      </c>
    </row>
    <row r="648" spans="1:4" x14ac:dyDescent="0.25">
      <c r="A648">
        <v>35</v>
      </c>
      <c r="B648" t="s">
        <v>13</v>
      </c>
      <c r="C648">
        <v>511.81524200000001</v>
      </c>
      <c r="D648" s="1">
        <v>44715</v>
      </c>
    </row>
    <row r="649" spans="1:4" x14ac:dyDescent="0.25">
      <c r="A649">
        <v>6</v>
      </c>
      <c r="B649" t="s">
        <v>11</v>
      </c>
      <c r="C649">
        <v>598.54456860000005</v>
      </c>
      <c r="D649" s="1">
        <v>44659</v>
      </c>
    </row>
    <row r="650" spans="1:4" x14ac:dyDescent="0.25">
      <c r="A650">
        <v>71</v>
      </c>
      <c r="B650" t="s">
        <v>10</v>
      </c>
      <c r="C650">
        <v>337.10508049999999</v>
      </c>
      <c r="D650" s="1">
        <v>44660</v>
      </c>
    </row>
    <row r="651" spans="1:4" x14ac:dyDescent="0.25">
      <c r="A651">
        <v>4</v>
      </c>
      <c r="B651" t="s">
        <v>6</v>
      </c>
      <c r="C651">
        <v>593.99252980000006</v>
      </c>
      <c r="D651" s="1">
        <v>44727</v>
      </c>
    </row>
    <row r="652" spans="1:4" x14ac:dyDescent="0.25">
      <c r="A652">
        <v>74</v>
      </c>
      <c r="B652" t="s">
        <v>13</v>
      </c>
      <c r="C652">
        <v>501.27289780000001</v>
      </c>
      <c r="D652" s="1">
        <v>44823</v>
      </c>
    </row>
    <row r="653" spans="1:4" x14ac:dyDescent="0.25">
      <c r="A653">
        <v>81</v>
      </c>
      <c r="B653" t="s">
        <v>8</v>
      </c>
      <c r="C653">
        <v>531.55819380000003</v>
      </c>
      <c r="D653" s="1">
        <v>44908</v>
      </c>
    </row>
    <row r="654" spans="1:4" x14ac:dyDescent="0.25">
      <c r="A654">
        <v>48</v>
      </c>
      <c r="B654" t="s">
        <v>10</v>
      </c>
      <c r="C654">
        <v>423.53770589999999</v>
      </c>
      <c r="D654" s="1">
        <v>44675</v>
      </c>
    </row>
    <row r="655" spans="1:4" x14ac:dyDescent="0.25">
      <c r="A655">
        <v>8</v>
      </c>
      <c r="B655" t="s">
        <v>4</v>
      </c>
      <c r="C655">
        <v>463.28268120000001</v>
      </c>
      <c r="D655" s="1">
        <v>44662</v>
      </c>
    </row>
    <row r="656" spans="1:4" x14ac:dyDescent="0.25">
      <c r="A656">
        <v>53</v>
      </c>
      <c r="B656" t="s">
        <v>7</v>
      </c>
      <c r="C656">
        <v>474.8443173</v>
      </c>
      <c r="D656" s="1">
        <v>44575</v>
      </c>
    </row>
    <row r="657" spans="1:4" x14ac:dyDescent="0.25">
      <c r="A657">
        <v>67</v>
      </c>
      <c r="B657" t="s">
        <v>13</v>
      </c>
      <c r="C657">
        <v>431.88079820000002</v>
      </c>
      <c r="D657" s="1">
        <v>44835</v>
      </c>
    </row>
    <row r="658" spans="1:4" x14ac:dyDescent="0.25">
      <c r="A658">
        <v>53</v>
      </c>
      <c r="B658" t="s">
        <v>4</v>
      </c>
      <c r="C658">
        <v>482.94961410000002</v>
      </c>
      <c r="D658" s="1">
        <v>44757</v>
      </c>
    </row>
    <row r="659" spans="1:4" x14ac:dyDescent="0.25">
      <c r="A659">
        <v>14</v>
      </c>
      <c r="B659" t="s">
        <v>12</v>
      </c>
      <c r="C659">
        <v>477.0022755</v>
      </c>
      <c r="D659" s="1">
        <v>44656</v>
      </c>
    </row>
    <row r="660" spans="1:4" x14ac:dyDescent="0.25">
      <c r="A660">
        <v>28</v>
      </c>
      <c r="B660" t="s">
        <v>6</v>
      </c>
      <c r="C660">
        <v>442.02714939999998</v>
      </c>
      <c r="D660" s="1">
        <v>44834</v>
      </c>
    </row>
    <row r="661" spans="1:4" x14ac:dyDescent="0.25">
      <c r="A661">
        <v>6</v>
      </c>
      <c r="B661" t="s">
        <v>7</v>
      </c>
      <c r="C661">
        <v>513.17782550000004</v>
      </c>
      <c r="D661" s="1">
        <v>44753</v>
      </c>
    </row>
    <row r="662" spans="1:4" x14ac:dyDescent="0.25">
      <c r="A662">
        <v>9</v>
      </c>
      <c r="B662" t="s">
        <v>6</v>
      </c>
      <c r="C662">
        <v>653.85788119999995</v>
      </c>
      <c r="D662" s="1">
        <v>44705</v>
      </c>
    </row>
    <row r="663" spans="1:4" x14ac:dyDescent="0.25">
      <c r="A663">
        <v>33</v>
      </c>
      <c r="B663" t="s">
        <v>4</v>
      </c>
      <c r="C663">
        <v>484.13686619999999</v>
      </c>
      <c r="D663" s="1">
        <v>44861</v>
      </c>
    </row>
    <row r="664" spans="1:4" x14ac:dyDescent="0.25">
      <c r="A664">
        <v>46</v>
      </c>
      <c r="B664" t="s">
        <v>6</v>
      </c>
      <c r="C664">
        <v>320.92056220000001</v>
      </c>
      <c r="D664" s="1">
        <v>44644</v>
      </c>
    </row>
    <row r="665" spans="1:4" x14ac:dyDescent="0.25">
      <c r="A665">
        <v>64</v>
      </c>
      <c r="B665" t="s">
        <v>6</v>
      </c>
      <c r="C665">
        <v>453.33469639999998</v>
      </c>
      <c r="D665" s="1">
        <v>44817</v>
      </c>
    </row>
    <row r="666" spans="1:4" x14ac:dyDescent="0.25">
      <c r="A666">
        <v>19</v>
      </c>
      <c r="B666" t="s">
        <v>4</v>
      </c>
      <c r="C666">
        <v>587.53449160000002</v>
      </c>
      <c r="D666" s="1">
        <v>44732</v>
      </c>
    </row>
    <row r="667" spans="1:4" x14ac:dyDescent="0.25">
      <c r="A667">
        <v>98</v>
      </c>
      <c r="B667" t="s">
        <v>12</v>
      </c>
      <c r="C667">
        <v>365.5394427</v>
      </c>
      <c r="D667" s="1">
        <v>44674</v>
      </c>
    </row>
    <row r="668" spans="1:4" x14ac:dyDescent="0.25">
      <c r="A668">
        <v>1</v>
      </c>
      <c r="B668" t="s">
        <v>13</v>
      </c>
      <c r="C668">
        <v>406.31080530000003</v>
      </c>
      <c r="D668" s="1">
        <v>44860</v>
      </c>
    </row>
    <row r="669" spans="1:4" x14ac:dyDescent="0.25">
      <c r="A669">
        <v>92</v>
      </c>
      <c r="B669" t="s">
        <v>6</v>
      </c>
      <c r="C669">
        <v>321.26716850000003</v>
      </c>
      <c r="D669" s="1">
        <v>44684</v>
      </c>
    </row>
    <row r="670" spans="1:4" x14ac:dyDescent="0.25">
      <c r="A670">
        <v>52</v>
      </c>
      <c r="B670" t="s">
        <v>5</v>
      </c>
      <c r="C670">
        <v>592.1630073</v>
      </c>
      <c r="D670" s="1">
        <v>44807</v>
      </c>
    </row>
    <row r="671" spans="1:4" x14ac:dyDescent="0.25">
      <c r="A671">
        <v>94</v>
      </c>
      <c r="B671" t="s">
        <v>10</v>
      </c>
      <c r="C671">
        <v>467.95058540000002</v>
      </c>
      <c r="D671" s="1">
        <v>44656</v>
      </c>
    </row>
    <row r="672" spans="1:4" x14ac:dyDescent="0.25">
      <c r="A672">
        <v>68</v>
      </c>
      <c r="B672" t="s">
        <v>8</v>
      </c>
      <c r="C672">
        <v>639.81371730000001</v>
      </c>
      <c r="D672" s="1">
        <v>44852</v>
      </c>
    </row>
    <row r="673" spans="1:4" x14ac:dyDescent="0.25">
      <c r="A673">
        <v>90</v>
      </c>
      <c r="B673" t="s">
        <v>9</v>
      </c>
      <c r="C673">
        <v>644.17777260000003</v>
      </c>
      <c r="D673" s="1">
        <v>44667</v>
      </c>
    </row>
    <row r="674" spans="1:4" x14ac:dyDescent="0.25">
      <c r="A674">
        <v>75</v>
      </c>
      <c r="B674" t="s">
        <v>4</v>
      </c>
      <c r="C674">
        <v>520.48735050000005</v>
      </c>
      <c r="D674" s="1">
        <v>44669</v>
      </c>
    </row>
    <row r="675" spans="1:4" x14ac:dyDescent="0.25">
      <c r="A675">
        <v>5</v>
      </c>
      <c r="B675" t="s">
        <v>5</v>
      </c>
      <c r="C675">
        <v>474.58211510000001</v>
      </c>
      <c r="D675" s="1">
        <v>44714</v>
      </c>
    </row>
    <row r="676" spans="1:4" x14ac:dyDescent="0.25">
      <c r="A676">
        <v>100</v>
      </c>
      <c r="B676" t="s">
        <v>9</v>
      </c>
      <c r="C676">
        <v>482.67090530000002</v>
      </c>
      <c r="D676" s="1">
        <v>44639</v>
      </c>
    </row>
    <row r="677" spans="1:4" x14ac:dyDescent="0.25">
      <c r="A677">
        <v>19</v>
      </c>
      <c r="B677" t="s">
        <v>13</v>
      </c>
      <c r="C677">
        <v>551.89058260000002</v>
      </c>
      <c r="D677" s="1">
        <v>44704</v>
      </c>
    </row>
    <row r="678" spans="1:4" x14ac:dyDescent="0.25">
      <c r="A678">
        <v>35</v>
      </c>
      <c r="B678" t="s">
        <v>5</v>
      </c>
      <c r="C678">
        <v>605.15301209999996</v>
      </c>
      <c r="D678" s="1">
        <v>44840</v>
      </c>
    </row>
    <row r="679" spans="1:4" x14ac:dyDescent="0.25">
      <c r="A679">
        <v>33</v>
      </c>
      <c r="B679" t="s">
        <v>7</v>
      </c>
      <c r="C679">
        <v>491.13801760000001</v>
      </c>
      <c r="D679" s="1">
        <v>44689</v>
      </c>
    </row>
    <row r="680" spans="1:4" x14ac:dyDescent="0.25">
      <c r="A680">
        <v>69</v>
      </c>
      <c r="B680" t="s">
        <v>10</v>
      </c>
      <c r="C680">
        <v>656.16170499999998</v>
      </c>
      <c r="D680" s="1">
        <v>44899</v>
      </c>
    </row>
    <row r="681" spans="1:4" x14ac:dyDescent="0.25">
      <c r="A681">
        <v>61</v>
      </c>
      <c r="B681" t="s">
        <v>8</v>
      </c>
      <c r="C681">
        <v>596.68930460000001</v>
      </c>
      <c r="D681" s="1">
        <v>44860</v>
      </c>
    </row>
    <row r="682" spans="1:4" x14ac:dyDescent="0.25">
      <c r="A682">
        <v>23</v>
      </c>
      <c r="B682" t="s">
        <v>8</v>
      </c>
      <c r="C682">
        <v>494.99422820000001</v>
      </c>
      <c r="D682" s="1">
        <v>44925</v>
      </c>
    </row>
    <row r="683" spans="1:4" x14ac:dyDescent="0.25">
      <c r="A683">
        <v>41</v>
      </c>
      <c r="B683" t="s">
        <v>10</v>
      </c>
      <c r="C683">
        <v>342.7745372</v>
      </c>
      <c r="D683" s="1">
        <v>44822</v>
      </c>
    </row>
    <row r="684" spans="1:4" x14ac:dyDescent="0.25">
      <c r="A684">
        <v>89</v>
      </c>
      <c r="B684" t="s">
        <v>5</v>
      </c>
      <c r="C684">
        <v>467.75443960000001</v>
      </c>
      <c r="D684" s="1">
        <v>44762</v>
      </c>
    </row>
    <row r="685" spans="1:4" x14ac:dyDescent="0.25">
      <c r="A685">
        <v>63</v>
      </c>
      <c r="B685" t="s">
        <v>10</v>
      </c>
      <c r="C685">
        <v>355.92910760000001</v>
      </c>
      <c r="D685" s="1">
        <v>44604</v>
      </c>
    </row>
    <row r="686" spans="1:4" x14ac:dyDescent="0.25">
      <c r="A686">
        <v>49</v>
      </c>
      <c r="B686" t="s">
        <v>13</v>
      </c>
      <c r="C686">
        <v>562.58529559999999</v>
      </c>
      <c r="D686" s="1">
        <v>44843</v>
      </c>
    </row>
    <row r="687" spans="1:4" x14ac:dyDescent="0.25">
      <c r="A687">
        <v>85</v>
      </c>
      <c r="B687" t="s">
        <v>12</v>
      </c>
      <c r="C687">
        <v>559.79885060000004</v>
      </c>
      <c r="D687" s="1">
        <v>44806</v>
      </c>
    </row>
    <row r="688" spans="1:4" x14ac:dyDescent="0.25">
      <c r="A688">
        <v>69</v>
      </c>
      <c r="B688" t="s">
        <v>4</v>
      </c>
      <c r="C688">
        <v>528.18128899999999</v>
      </c>
      <c r="D688" s="1">
        <v>44895</v>
      </c>
    </row>
    <row r="689" spans="1:4" x14ac:dyDescent="0.25">
      <c r="A689">
        <v>64</v>
      </c>
      <c r="B689" t="s">
        <v>5</v>
      </c>
      <c r="C689">
        <v>530.67713920000006</v>
      </c>
      <c r="D689" s="1">
        <v>44701</v>
      </c>
    </row>
    <row r="690" spans="1:4" x14ac:dyDescent="0.25">
      <c r="A690">
        <v>76</v>
      </c>
      <c r="B690" t="s">
        <v>12</v>
      </c>
      <c r="C690">
        <v>501.872454</v>
      </c>
      <c r="D690" s="1">
        <v>44575</v>
      </c>
    </row>
    <row r="691" spans="1:4" x14ac:dyDescent="0.25">
      <c r="A691">
        <v>2</v>
      </c>
      <c r="B691" t="s">
        <v>8</v>
      </c>
      <c r="C691">
        <v>463.86197099999998</v>
      </c>
      <c r="D691" s="1">
        <v>44838</v>
      </c>
    </row>
    <row r="692" spans="1:4" x14ac:dyDescent="0.25">
      <c r="A692">
        <v>18</v>
      </c>
      <c r="B692" t="s">
        <v>13</v>
      </c>
      <c r="C692">
        <v>412.21512389999998</v>
      </c>
      <c r="D692" s="1">
        <v>44838</v>
      </c>
    </row>
    <row r="693" spans="1:4" x14ac:dyDescent="0.25">
      <c r="A693">
        <v>4</v>
      </c>
      <c r="B693" t="s">
        <v>4</v>
      </c>
      <c r="C693">
        <v>270.16694580000001</v>
      </c>
      <c r="D693" s="1">
        <v>44886</v>
      </c>
    </row>
    <row r="694" spans="1:4" x14ac:dyDescent="0.25">
      <c r="A694">
        <v>87</v>
      </c>
      <c r="B694" t="s">
        <v>10</v>
      </c>
      <c r="C694">
        <v>502.34846590000001</v>
      </c>
      <c r="D694" s="1">
        <v>44649</v>
      </c>
    </row>
    <row r="695" spans="1:4" x14ac:dyDescent="0.25">
      <c r="A695">
        <v>72</v>
      </c>
      <c r="B695" t="s">
        <v>13</v>
      </c>
      <c r="C695">
        <v>505.27750909999997</v>
      </c>
      <c r="D695" s="1">
        <v>44643</v>
      </c>
    </row>
    <row r="696" spans="1:4" x14ac:dyDescent="0.25">
      <c r="A696">
        <v>65</v>
      </c>
      <c r="B696" t="s">
        <v>4</v>
      </c>
      <c r="C696">
        <v>885.17579709999995</v>
      </c>
      <c r="D696" s="1">
        <v>44891</v>
      </c>
    </row>
    <row r="697" spans="1:4" x14ac:dyDescent="0.25">
      <c r="A697">
        <v>75</v>
      </c>
      <c r="B697" t="s">
        <v>5</v>
      </c>
      <c r="C697">
        <v>666.90817360000005</v>
      </c>
      <c r="D697" s="1">
        <v>44569</v>
      </c>
    </row>
    <row r="698" spans="1:4" x14ac:dyDescent="0.25">
      <c r="A698">
        <v>11</v>
      </c>
      <c r="B698" t="s">
        <v>5</v>
      </c>
      <c r="C698">
        <v>563.15118649999999</v>
      </c>
      <c r="D698" s="1">
        <v>44849</v>
      </c>
    </row>
    <row r="699" spans="1:4" x14ac:dyDescent="0.25">
      <c r="A699">
        <v>79</v>
      </c>
      <c r="B699" t="s">
        <v>6</v>
      </c>
      <c r="C699">
        <v>418.40355219999998</v>
      </c>
      <c r="D699" s="1">
        <v>44886</v>
      </c>
    </row>
    <row r="700" spans="1:4" x14ac:dyDescent="0.25">
      <c r="A700">
        <v>79</v>
      </c>
      <c r="B700" t="s">
        <v>9</v>
      </c>
      <c r="C700">
        <v>370.51224839999998</v>
      </c>
      <c r="D700" s="1">
        <v>44750</v>
      </c>
    </row>
    <row r="701" spans="1:4" x14ac:dyDescent="0.25">
      <c r="A701">
        <v>57</v>
      </c>
      <c r="B701" t="s">
        <v>4</v>
      </c>
      <c r="C701">
        <v>570.00457340000003</v>
      </c>
      <c r="D701" s="1">
        <v>44601</v>
      </c>
    </row>
    <row r="702" spans="1:4" x14ac:dyDescent="0.25">
      <c r="A702">
        <v>56</v>
      </c>
      <c r="B702" t="s">
        <v>8</v>
      </c>
      <c r="C702">
        <v>400.5033353</v>
      </c>
      <c r="D702" s="1">
        <v>44907</v>
      </c>
    </row>
    <row r="703" spans="1:4" x14ac:dyDescent="0.25">
      <c r="A703">
        <v>15</v>
      </c>
      <c r="B703" t="s">
        <v>5</v>
      </c>
      <c r="C703">
        <v>585.23503960000005</v>
      </c>
      <c r="D703" s="1">
        <v>44754</v>
      </c>
    </row>
    <row r="704" spans="1:4" x14ac:dyDescent="0.25">
      <c r="A704">
        <v>79</v>
      </c>
      <c r="B704" t="s">
        <v>6</v>
      </c>
      <c r="C704">
        <v>533.35452210000005</v>
      </c>
      <c r="D704" s="1">
        <v>44867</v>
      </c>
    </row>
    <row r="705" spans="1:4" x14ac:dyDescent="0.25">
      <c r="A705">
        <v>52</v>
      </c>
      <c r="B705" t="s">
        <v>6</v>
      </c>
      <c r="C705">
        <v>432.11605279999998</v>
      </c>
      <c r="D705" s="1">
        <v>44605</v>
      </c>
    </row>
    <row r="706" spans="1:4" x14ac:dyDescent="0.25">
      <c r="A706">
        <v>61</v>
      </c>
      <c r="B706" t="s">
        <v>8</v>
      </c>
      <c r="C706">
        <v>458.61041660000001</v>
      </c>
      <c r="D706" s="1">
        <v>44731</v>
      </c>
    </row>
    <row r="707" spans="1:4" x14ac:dyDescent="0.25">
      <c r="A707">
        <v>89</v>
      </c>
      <c r="B707" t="s">
        <v>11</v>
      </c>
      <c r="C707">
        <v>518.06095140000002</v>
      </c>
      <c r="D707" s="1">
        <v>44705</v>
      </c>
    </row>
    <row r="708" spans="1:4" x14ac:dyDescent="0.25">
      <c r="A708">
        <v>36</v>
      </c>
      <c r="B708" t="s">
        <v>11</v>
      </c>
      <c r="C708">
        <v>446.59614269999997</v>
      </c>
      <c r="D708" s="1">
        <v>44785</v>
      </c>
    </row>
    <row r="709" spans="1:4" x14ac:dyDescent="0.25">
      <c r="A709">
        <v>3</v>
      </c>
      <c r="B709" t="s">
        <v>6</v>
      </c>
      <c r="C709">
        <v>505.56833990000001</v>
      </c>
      <c r="D709" s="1">
        <v>44882</v>
      </c>
    </row>
    <row r="710" spans="1:4" x14ac:dyDescent="0.25">
      <c r="A710">
        <v>7</v>
      </c>
      <c r="B710" t="s">
        <v>4</v>
      </c>
      <c r="C710">
        <v>450.1529377</v>
      </c>
      <c r="D710" s="1">
        <v>44638</v>
      </c>
    </row>
    <row r="711" spans="1:4" x14ac:dyDescent="0.25">
      <c r="A711">
        <v>68</v>
      </c>
      <c r="B711" t="s">
        <v>6</v>
      </c>
      <c r="C711">
        <v>647.06608830000005</v>
      </c>
      <c r="D711" s="1">
        <v>44772</v>
      </c>
    </row>
    <row r="712" spans="1:4" x14ac:dyDescent="0.25">
      <c r="A712">
        <v>53</v>
      </c>
      <c r="B712" t="s">
        <v>13</v>
      </c>
      <c r="C712">
        <v>522.50389719999998</v>
      </c>
      <c r="D712" s="1">
        <v>44868</v>
      </c>
    </row>
    <row r="713" spans="1:4" x14ac:dyDescent="0.25">
      <c r="A713">
        <v>24</v>
      </c>
      <c r="B713" t="s">
        <v>10</v>
      </c>
      <c r="C713">
        <v>471.74664050000001</v>
      </c>
      <c r="D713" s="1">
        <v>44779</v>
      </c>
    </row>
    <row r="714" spans="1:4" x14ac:dyDescent="0.25">
      <c r="A714">
        <v>68</v>
      </c>
      <c r="B714" t="s">
        <v>9</v>
      </c>
      <c r="C714">
        <v>465.5582197</v>
      </c>
      <c r="D714" s="1">
        <v>44775</v>
      </c>
    </row>
    <row r="715" spans="1:4" x14ac:dyDescent="0.25">
      <c r="A715">
        <v>67</v>
      </c>
      <c r="B715" t="s">
        <v>11</v>
      </c>
      <c r="C715">
        <v>407.32111479999998</v>
      </c>
      <c r="D715" s="1">
        <v>44659</v>
      </c>
    </row>
    <row r="716" spans="1:4" x14ac:dyDescent="0.25">
      <c r="A716">
        <v>11</v>
      </c>
      <c r="B716" t="s">
        <v>9</v>
      </c>
      <c r="C716">
        <v>648.76640659999998</v>
      </c>
      <c r="D716" s="1">
        <v>44734</v>
      </c>
    </row>
    <row r="717" spans="1:4" x14ac:dyDescent="0.25">
      <c r="A717">
        <v>74</v>
      </c>
      <c r="B717" t="s">
        <v>6</v>
      </c>
      <c r="C717">
        <v>470.28707009999999</v>
      </c>
      <c r="D717" s="1">
        <v>44829</v>
      </c>
    </row>
    <row r="718" spans="1:4" x14ac:dyDescent="0.25">
      <c r="A718">
        <v>93</v>
      </c>
      <c r="B718" t="s">
        <v>6</v>
      </c>
      <c r="C718">
        <v>519.58771079999997</v>
      </c>
      <c r="D718" s="1">
        <v>44862</v>
      </c>
    </row>
    <row r="719" spans="1:4" x14ac:dyDescent="0.25">
      <c r="A719">
        <v>87</v>
      </c>
      <c r="B719" t="s">
        <v>12</v>
      </c>
      <c r="C719">
        <v>538.63052400000004</v>
      </c>
      <c r="D719" s="1">
        <v>44797</v>
      </c>
    </row>
    <row r="720" spans="1:4" x14ac:dyDescent="0.25">
      <c r="A720">
        <v>5</v>
      </c>
      <c r="B720" t="s">
        <v>6</v>
      </c>
      <c r="C720">
        <v>444.97201480000001</v>
      </c>
      <c r="D720" s="1">
        <v>44862</v>
      </c>
    </row>
    <row r="721" spans="1:4" x14ac:dyDescent="0.25">
      <c r="A721">
        <v>88</v>
      </c>
      <c r="B721" t="s">
        <v>6</v>
      </c>
      <c r="C721">
        <v>485.33213230000001</v>
      </c>
      <c r="D721" s="1">
        <v>44906</v>
      </c>
    </row>
    <row r="722" spans="1:4" x14ac:dyDescent="0.25">
      <c r="A722">
        <v>32</v>
      </c>
      <c r="B722" t="s">
        <v>7</v>
      </c>
      <c r="C722">
        <v>741.71745069999997</v>
      </c>
      <c r="D722" s="1">
        <v>44564</v>
      </c>
    </row>
    <row r="723" spans="1:4" x14ac:dyDescent="0.25">
      <c r="A723">
        <v>89</v>
      </c>
      <c r="B723" t="s">
        <v>8</v>
      </c>
      <c r="C723">
        <v>451.8277377</v>
      </c>
      <c r="D723" s="1">
        <v>44680</v>
      </c>
    </row>
    <row r="724" spans="1:4" x14ac:dyDescent="0.25">
      <c r="A724">
        <v>11</v>
      </c>
      <c r="B724" t="s">
        <v>5</v>
      </c>
      <c r="C724">
        <v>458.12403590000002</v>
      </c>
      <c r="D724" s="1">
        <v>44889</v>
      </c>
    </row>
    <row r="725" spans="1:4" x14ac:dyDescent="0.25">
      <c r="A725">
        <v>74</v>
      </c>
      <c r="B725" t="s">
        <v>13</v>
      </c>
      <c r="C725">
        <v>627.87934029999997</v>
      </c>
      <c r="D725" s="1">
        <v>44790</v>
      </c>
    </row>
    <row r="726" spans="1:4" x14ac:dyDescent="0.25">
      <c r="A726">
        <v>79</v>
      </c>
      <c r="B726" t="s">
        <v>7</v>
      </c>
      <c r="C726">
        <v>365.67741869999998</v>
      </c>
      <c r="D726" s="1">
        <v>44669</v>
      </c>
    </row>
    <row r="727" spans="1:4" x14ac:dyDescent="0.25">
      <c r="A727">
        <v>60</v>
      </c>
      <c r="B727" t="s">
        <v>10</v>
      </c>
      <c r="C727">
        <v>507.7453309</v>
      </c>
      <c r="D727" s="1">
        <v>44874</v>
      </c>
    </row>
    <row r="728" spans="1:4" x14ac:dyDescent="0.25">
      <c r="A728">
        <v>31</v>
      </c>
      <c r="B728" t="s">
        <v>8</v>
      </c>
      <c r="C728">
        <v>601.62754150000001</v>
      </c>
      <c r="D728" s="1">
        <v>44693</v>
      </c>
    </row>
    <row r="729" spans="1:4" x14ac:dyDescent="0.25">
      <c r="A729">
        <v>74</v>
      </c>
      <c r="B729" t="s">
        <v>4</v>
      </c>
      <c r="C729">
        <v>547.14443779999999</v>
      </c>
      <c r="D729" s="1">
        <v>44824</v>
      </c>
    </row>
    <row r="730" spans="1:4" x14ac:dyDescent="0.25">
      <c r="A730">
        <v>45</v>
      </c>
      <c r="B730" t="s">
        <v>9</v>
      </c>
      <c r="C730">
        <v>584.50162060000002</v>
      </c>
      <c r="D730" s="1">
        <v>44793</v>
      </c>
    </row>
    <row r="731" spans="1:4" x14ac:dyDescent="0.25">
      <c r="A731">
        <v>59</v>
      </c>
      <c r="B731" t="s">
        <v>7</v>
      </c>
      <c r="C731">
        <v>436.21272290000002</v>
      </c>
      <c r="D731" s="1">
        <v>44620</v>
      </c>
    </row>
    <row r="732" spans="1:4" x14ac:dyDescent="0.25">
      <c r="A732">
        <v>24</v>
      </c>
      <c r="B732" t="s">
        <v>4</v>
      </c>
      <c r="C732">
        <v>590.07817660000001</v>
      </c>
      <c r="D732" s="1">
        <v>44859</v>
      </c>
    </row>
    <row r="733" spans="1:4" x14ac:dyDescent="0.25">
      <c r="A733">
        <v>35</v>
      </c>
      <c r="B733" t="s">
        <v>6</v>
      </c>
      <c r="C733">
        <v>596.53145559999996</v>
      </c>
      <c r="D733" s="1">
        <v>44657</v>
      </c>
    </row>
    <row r="734" spans="1:4" x14ac:dyDescent="0.25">
      <c r="A734">
        <v>10</v>
      </c>
      <c r="B734" t="s">
        <v>9</v>
      </c>
      <c r="C734">
        <v>293.56849460000001</v>
      </c>
      <c r="D734" s="1">
        <v>44756</v>
      </c>
    </row>
    <row r="735" spans="1:4" x14ac:dyDescent="0.25">
      <c r="A735">
        <v>64</v>
      </c>
      <c r="B735" t="s">
        <v>5</v>
      </c>
      <c r="C735">
        <v>566.83919089999995</v>
      </c>
      <c r="D735" s="1">
        <v>44828</v>
      </c>
    </row>
    <row r="736" spans="1:4" x14ac:dyDescent="0.25">
      <c r="A736">
        <v>72</v>
      </c>
      <c r="B736" t="s">
        <v>11</v>
      </c>
      <c r="C736">
        <v>465.38890459999999</v>
      </c>
      <c r="D736" s="1">
        <v>44679</v>
      </c>
    </row>
    <row r="737" spans="1:4" x14ac:dyDescent="0.25">
      <c r="A737">
        <v>44</v>
      </c>
      <c r="B737" t="s">
        <v>13</v>
      </c>
      <c r="C737">
        <v>464.04835009999999</v>
      </c>
      <c r="D737" s="1">
        <v>44564</v>
      </c>
    </row>
    <row r="738" spans="1:4" x14ac:dyDescent="0.25">
      <c r="A738">
        <v>42</v>
      </c>
      <c r="B738" t="s">
        <v>13</v>
      </c>
      <c r="C738">
        <v>509.70312000000001</v>
      </c>
      <c r="D738" s="1">
        <v>44685</v>
      </c>
    </row>
    <row r="739" spans="1:4" x14ac:dyDescent="0.25">
      <c r="A739">
        <v>32</v>
      </c>
      <c r="B739" t="s">
        <v>10</v>
      </c>
      <c r="C739">
        <v>475.54746390000003</v>
      </c>
      <c r="D739" s="1">
        <v>44887</v>
      </c>
    </row>
    <row r="740" spans="1:4" x14ac:dyDescent="0.25">
      <c r="A740">
        <v>39</v>
      </c>
      <c r="B740" t="s">
        <v>4</v>
      </c>
      <c r="C740">
        <v>551.22828489999995</v>
      </c>
      <c r="D740" s="1">
        <v>44642</v>
      </c>
    </row>
    <row r="741" spans="1:4" x14ac:dyDescent="0.25">
      <c r="A741">
        <v>7</v>
      </c>
      <c r="B741" t="s">
        <v>5</v>
      </c>
      <c r="C741">
        <v>662.53793250000001</v>
      </c>
      <c r="D741" s="1">
        <v>44864</v>
      </c>
    </row>
    <row r="742" spans="1:4" x14ac:dyDescent="0.25">
      <c r="A742">
        <v>38</v>
      </c>
      <c r="B742" t="s">
        <v>7</v>
      </c>
      <c r="C742">
        <v>534.93958229999998</v>
      </c>
      <c r="D742" s="1">
        <v>44816</v>
      </c>
    </row>
    <row r="743" spans="1:4" x14ac:dyDescent="0.25">
      <c r="A743">
        <v>17</v>
      </c>
      <c r="B743" t="s">
        <v>11</v>
      </c>
      <c r="C743">
        <v>359.70547140000002</v>
      </c>
      <c r="D743" s="1">
        <v>44673</v>
      </c>
    </row>
    <row r="744" spans="1:4" x14ac:dyDescent="0.25">
      <c r="A744">
        <v>84</v>
      </c>
      <c r="B744" t="s">
        <v>13</v>
      </c>
      <c r="C744">
        <v>590.39511990000005</v>
      </c>
      <c r="D744" s="1">
        <v>44755</v>
      </c>
    </row>
    <row r="745" spans="1:4" x14ac:dyDescent="0.25">
      <c r="A745">
        <v>33</v>
      </c>
      <c r="B745" t="s">
        <v>8</v>
      </c>
      <c r="C745">
        <v>518.1019728</v>
      </c>
      <c r="D745" s="1">
        <v>44892</v>
      </c>
    </row>
    <row r="746" spans="1:4" x14ac:dyDescent="0.25">
      <c r="A746">
        <v>74</v>
      </c>
      <c r="B746" t="s">
        <v>6</v>
      </c>
      <c r="C746">
        <v>758.78759239999999</v>
      </c>
      <c r="D746" s="1">
        <v>44610</v>
      </c>
    </row>
    <row r="747" spans="1:4" x14ac:dyDescent="0.25">
      <c r="A747">
        <v>74</v>
      </c>
      <c r="B747" t="s">
        <v>10</v>
      </c>
      <c r="C747">
        <v>405.3778926</v>
      </c>
      <c r="D747" s="1">
        <v>44673</v>
      </c>
    </row>
    <row r="748" spans="1:4" x14ac:dyDescent="0.25">
      <c r="A748">
        <v>2</v>
      </c>
      <c r="B748" t="s">
        <v>6</v>
      </c>
      <c r="C748">
        <v>509.77860859999998</v>
      </c>
      <c r="D748" s="1">
        <v>44788</v>
      </c>
    </row>
    <row r="749" spans="1:4" x14ac:dyDescent="0.25">
      <c r="A749">
        <v>79</v>
      </c>
      <c r="B749" t="s">
        <v>8</v>
      </c>
      <c r="C749">
        <v>552.06211169999995</v>
      </c>
      <c r="D749" s="1">
        <v>44736</v>
      </c>
    </row>
    <row r="750" spans="1:4" x14ac:dyDescent="0.25">
      <c r="A750">
        <v>87</v>
      </c>
      <c r="B750" t="s">
        <v>10</v>
      </c>
      <c r="C750">
        <v>559.25495760000001</v>
      </c>
      <c r="D750" s="1">
        <v>44659</v>
      </c>
    </row>
    <row r="751" spans="1:4" x14ac:dyDescent="0.25">
      <c r="A751">
        <v>99</v>
      </c>
      <c r="B751" t="s">
        <v>10</v>
      </c>
      <c r="C751">
        <v>450.03809369999999</v>
      </c>
      <c r="D751" s="1">
        <v>44595</v>
      </c>
    </row>
    <row r="752" spans="1:4" x14ac:dyDescent="0.25">
      <c r="A752">
        <v>66</v>
      </c>
      <c r="B752" t="s">
        <v>10</v>
      </c>
      <c r="C752">
        <v>417.69726220000001</v>
      </c>
      <c r="D752" s="1">
        <v>44787</v>
      </c>
    </row>
    <row r="753" spans="1:4" x14ac:dyDescent="0.25">
      <c r="A753">
        <v>70</v>
      </c>
      <c r="B753" t="s">
        <v>9</v>
      </c>
      <c r="C753">
        <v>627.514364</v>
      </c>
      <c r="D753" s="1">
        <v>44748</v>
      </c>
    </row>
    <row r="754" spans="1:4" x14ac:dyDescent="0.25">
      <c r="A754">
        <v>59</v>
      </c>
      <c r="B754" t="s">
        <v>9</v>
      </c>
      <c r="C754">
        <v>393.57008539999998</v>
      </c>
      <c r="D754" s="1">
        <v>44845</v>
      </c>
    </row>
    <row r="755" spans="1:4" x14ac:dyDescent="0.25">
      <c r="A755">
        <v>47</v>
      </c>
      <c r="B755" t="s">
        <v>10</v>
      </c>
      <c r="C755">
        <v>510.75801660000002</v>
      </c>
      <c r="D755" s="1">
        <v>44745</v>
      </c>
    </row>
    <row r="756" spans="1:4" x14ac:dyDescent="0.25">
      <c r="A756">
        <v>9</v>
      </c>
      <c r="B756" t="s">
        <v>10</v>
      </c>
      <c r="C756">
        <v>553.34871039999996</v>
      </c>
      <c r="D756" s="1">
        <v>44698</v>
      </c>
    </row>
    <row r="757" spans="1:4" x14ac:dyDescent="0.25">
      <c r="A757">
        <v>23</v>
      </c>
      <c r="B757" t="s">
        <v>10</v>
      </c>
      <c r="C757">
        <v>571.01908590000005</v>
      </c>
      <c r="D757" s="1">
        <v>44746</v>
      </c>
    </row>
    <row r="758" spans="1:4" x14ac:dyDescent="0.25">
      <c r="A758">
        <v>25</v>
      </c>
      <c r="B758" t="s">
        <v>5</v>
      </c>
      <c r="C758">
        <v>714.66895780000004</v>
      </c>
      <c r="D758" s="1">
        <v>44790</v>
      </c>
    </row>
    <row r="759" spans="1:4" x14ac:dyDescent="0.25">
      <c r="A759">
        <v>15</v>
      </c>
      <c r="B759" t="s">
        <v>5</v>
      </c>
      <c r="C759">
        <v>309.03669250000002</v>
      </c>
      <c r="D759" s="1">
        <v>44887</v>
      </c>
    </row>
    <row r="760" spans="1:4" x14ac:dyDescent="0.25">
      <c r="A760">
        <v>86</v>
      </c>
      <c r="B760" t="s">
        <v>5</v>
      </c>
      <c r="C760">
        <v>465.9597392</v>
      </c>
      <c r="D760" s="1">
        <v>44693</v>
      </c>
    </row>
    <row r="761" spans="1:4" x14ac:dyDescent="0.25">
      <c r="A761">
        <v>72</v>
      </c>
      <c r="B761" t="s">
        <v>13</v>
      </c>
      <c r="C761">
        <v>293.36284619999998</v>
      </c>
      <c r="D761" s="1">
        <v>44896</v>
      </c>
    </row>
    <row r="762" spans="1:4" x14ac:dyDescent="0.25">
      <c r="A762">
        <v>93</v>
      </c>
      <c r="B762" t="s">
        <v>5</v>
      </c>
      <c r="C762">
        <v>399.57055109999999</v>
      </c>
      <c r="D762" s="1">
        <v>44868</v>
      </c>
    </row>
    <row r="763" spans="1:4" x14ac:dyDescent="0.25">
      <c r="A763">
        <v>21</v>
      </c>
      <c r="B763" t="s">
        <v>6</v>
      </c>
      <c r="C763">
        <v>556.45606910000004</v>
      </c>
      <c r="D763" s="1">
        <v>44656</v>
      </c>
    </row>
    <row r="764" spans="1:4" x14ac:dyDescent="0.25">
      <c r="A764">
        <v>48</v>
      </c>
      <c r="B764" t="s">
        <v>6</v>
      </c>
      <c r="C764">
        <v>305.919263</v>
      </c>
      <c r="D764" s="1">
        <v>44699</v>
      </c>
    </row>
    <row r="765" spans="1:4" x14ac:dyDescent="0.25">
      <c r="A765">
        <v>73</v>
      </c>
      <c r="B765" t="s">
        <v>4</v>
      </c>
      <c r="C765">
        <v>578.89533340000003</v>
      </c>
      <c r="D765" s="1">
        <v>44644</v>
      </c>
    </row>
    <row r="766" spans="1:4" x14ac:dyDescent="0.25">
      <c r="A766">
        <v>98</v>
      </c>
      <c r="B766" t="s">
        <v>7</v>
      </c>
      <c r="C766">
        <v>386.95273470000001</v>
      </c>
      <c r="D766" s="1">
        <v>44889</v>
      </c>
    </row>
    <row r="767" spans="1:4" x14ac:dyDescent="0.25">
      <c r="A767">
        <v>43</v>
      </c>
      <c r="B767" t="s">
        <v>9</v>
      </c>
      <c r="C767">
        <v>557.33813069999997</v>
      </c>
      <c r="D767" s="1">
        <v>44608</v>
      </c>
    </row>
    <row r="768" spans="1:4" x14ac:dyDescent="0.25">
      <c r="A768">
        <v>56</v>
      </c>
      <c r="B768" t="s">
        <v>11</v>
      </c>
      <c r="C768">
        <v>406.5068109</v>
      </c>
      <c r="D768" s="1">
        <v>44564</v>
      </c>
    </row>
    <row r="769" spans="1:4" x14ac:dyDescent="0.25">
      <c r="A769">
        <v>75</v>
      </c>
      <c r="B769" t="s">
        <v>5</v>
      </c>
      <c r="C769">
        <v>458.99993410000002</v>
      </c>
      <c r="D769" s="1">
        <v>44858</v>
      </c>
    </row>
    <row r="770" spans="1:4" x14ac:dyDescent="0.25">
      <c r="A770">
        <v>4</v>
      </c>
      <c r="B770" t="s">
        <v>8</v>
      </c>
      <c r="C770">
        <v>515.69110609999996</v>
      </c>
      <c r="D770" s="1">
        <v>44693</v>
      </c>
    </row>
    <row r="771" spans="1:4" x14ac:dyDescent="0.25">
      <c r="A771">
        <v>71</v>
      </c>
      <c r="B771" t="s">
        <v>5</v>
      </c>
      <c r="C771">
        <v>442.23667569999998</v>
      </c>
      <c r="D771" s="1">
        <v>44740</v>
      </c>
    </row>
    <row r="772" spans="1:4" x14ac:dyDescent="0.25">
      <c r="A772">
        <v>56</v>
      </c>
      <c r="B772" t="s">
        <v>5</v>
      </c>
      <c r="C772">
        <v>553.60049400000003</v>
      </c>
      <c r="D772" s="1">
        <v>44702</v>
      </c>
    </row>
    <row r="773" spans="1:4" x14ac:dyDescent="0.25">
      <c r="A773">
        <v>50</v>
      </c>
      <c r="B773" t="s">
        <v>9</v>
      </c>
      <c r="C773">
        <v>556.85861130000001</v>
      </c>
      <c r="D773" s="1">
        <v>44829</v>
      </c>
    </row>
    <row r="774" spans="1:4" x14ac:dyDescent="0.25">
      <c r="A774">
        <v>11</v>
      </c>
      <c r="B774" t="s">
        <v>7</v>
      </c>
      <c r="C774">
        <v>476.78596700000003</v>
      </c>
      <c r="D774" s="1">
        <v>44824</v>
      </c>
    </row>
    <row r="775" spans="1:4" x14ac:dyDescent="0.25">
      <c r="A775">
        <v>97</v>
      </c>
      <c r="B775" t="s">
        <v>10</v>
      </c>
      <c r="C775">
        <v>303.07642720000001</v>
      </c>
      <c r="D775" s="1">
        <v>44574</v>
      </c>
    </row>
    <row r="776" spans="1:4" x14ac:dyDescent="0.25">
      <c r="A776">
        <v>75</v>
      </c>
      <c r="B776" t="s">
        <v>13</v>
      </c>
      <c r="C776">
        <v>521.87623240000005</v>
      </c>
      <c r="D776" s="1">
        <v>44696</v>
      </c>
    </row>
    <row r="777" spans="1:4" x14ac:dyDescent="0.25">
      <c r="A777">
        <v>60</v>
      </c>
      <c r="B777" t="s">
        <v>5</v>
      </c>
      <c r="C777">
        <v>329.81490230000003</v>
      </c>
      <c r="D777" s="1">
        <v>44737</v>
      </c>
    </row>
    <row r="778" spans="1:4" x14ac:dyDescent="0.25">
      <c r="A778">
        <v>85</v>
      </c>
      <c r="B778" t="s">
        <v>10</v>
      </c>
      <c r="C778">
        <v>612.70693159999996</v>
      </c>
      <c r="D778" s="1">
        <v>44631</v>
      </c>
    </row>
    <row r="779" spans="1:4" x14ac:dyDescent="0.25">
      <c r="A779">
        <v>74</v>
      </c>
      <c r="B779" t="s">
        <v>6</v>
      </c>
      <c r="C779">
        <v>527.84610339999995</v>
      </c>
      <c r="D779" s="1">
        <v>44761</v>
      </c>
    </row>
    <row r="780" spans="1:4" x14ac:dyDescent="0.25">
      <c r="A780">
        <v>67</v>
      </c>
      <c r="B780" t="s">
        <v>6</v>
      </c>
      <c r="C780">
        <v>583.05414870000004</v>
      </c>
      <c r="D780" s="1">
        <v>44742</v>
      </c>
    </row>
    <row r="781" spans="1:4" x14ac:dyDescent="0.25">
      <c r="A781">
        <v>99</v>
      </c>
      <c r="B781" t="s">
        <v>4</v>
      </c>
      <c r="C781">
        <v>552.53779680000002</v>
      </c>
      <c r="D781" s="1">
        <v>44847</v>
      </c>
    </row>
    <row r="782" spans="1:4" x14ac:dyDescent="0.25">
      <c r="A782">
        <v>98</v>
      </c>
      <c r="B782" t="s">
        <v>5</v>
      </c>
      <c r="C782">
        <v>499.40855299999998</v>
      </c>
      <c r="D782" s="1">
        <v>44913</v>
      </c>
    </row>
    <row r="783" spans="1:4" x14ac:dyDescent="0.25">
      <c r="A783">
        <v>58</v>
      </c>
      <c r="B783" t="s">
        <v>7</v>
      </c>
      <c r="C783">
        <v>479.5953695</v>
      </c>
      <c r="D783" s="1">
        <v>44789</v>
      </c>
    </row>
    <row r="784" spans="1:4" x14ac:dyDescent="0.25">
      <c r="A784">
        <v>40</v>
      </c>
      <c r="B784" t="s">
        <v>6</v>
      </c>
      <c r="C784">
        <v>447.71922510000002</v>
      </c>
      <c r="D784" s="1">
        <v>44602</v>
      </c>
    </row>
    <row r="785" spans="1:4" x14ac:dyDescent="0.25">
      <c r="A785">
        <v>92</v>
      </c>
      <c r="B785" t="s">
        <v>13</v>
      </c>
      <c r="C785">
        <v>440.38990610000002</v>
      </c>
      <c r="D785" s="1">
        <v>44611</v>
      </c>
    </row>
    <row r="786" spans="1:4" x14ac:dyDescent="0.25">
      <c r="A786">
        <v>13</v>
      </c>
      <c r="B786" t="s">
        <v>9</v>
      </c>
      <c r="C786">
        <v>424.52363259999998</v>
      </c>
      <c r="D786" s="1">
        <v>44767</v>
      </c>
    </row>
    <row r="787" spans="1:4" x14ac:dyDescent="0.25">
      <c r="A787">
        <v>8</v>
      </c>
      <c r="B787" t="s">
        <v>6</v>
      </c>
      <c r="C787">
        <v>640.92757219999999</v>
      </c>
      <c r="D787" s="1">
        <v>44787</v>
      </c>
    </row>
    <row r="788" spans="1:4" x14ac:dyDescent="0.25">
      <c r="A788">
        <v>2</v>
      </c>
      <c r="B788" t="s">
        <v>7</v>
      </c>
      <c r="C788">
        <v>436.12740059999999</v>
      </c>
      <c r="D788" s="1">
        <v>44608</v>
      </c>
    </row>
    <row r="789" spans="1:4" x14ac:dyDescent="0.25">
      <c r="A789">
        <v>6</v>
      </c>
      <c r="B789" t="s">
        <v>10</v>
      </c>
      <c r="C789">
        <v>515.99477999999999</v>
      </c>
      <c r="D789" s="1">
        <v>44824</v>
      </c>
    </row>
    <row r="790" spans="1:4" x14ac:dyDescent="0.25">
      <c r="A790">
        <v>87</v>
      </c>
      <c r="B790" t="s">
        <v>5</v>
      </c>
      <c r="C790">
        <v>544.21297259999994</v>
      </c>
      <c r="D790" s="1">
        <v>44884</v>
      </c>
    </row>
    <row r="791" spans="1:4" x14ac:dyDescent="0.25">
      <c r="A791">
        <v>17</v>
      </c>
      <c r="B791" t="s">
        <v>11</v>
      </c>
      <c r="C791">
        <v>275.51300650000002</v>
      </c>
      <c r="D791" s="1">
        <v>44722</v>
      </c>
    </row>
    <row r="792" spans="1:4" x14ac:dyDescent="0.25">
      <c r="A792">
        <v>32</v>
      </c>
      <c r="B792" t="s">
        <v>10</v>
      </c>
      <c r="C792">
        <v>417.80888270000003</v>
      </c>
      <c r="D792" s="1">
        <v>44652</v>
      </c>
    </row>
    <row r="793" spans="1:4" x14ac:dyDescent="0.25">
      <c r="A793">
        <v>78</v>
      </c>
      <c r="B793" t="s">
        <v>11</v>
      </c>
      <c r="C793">
        <v>400.35000129999997</v>
      </c>
      <c r="D793" s="1">
        <v>44720</v>
      </c>
    </row>
    <row r="794" spans="1:4" x14ac:dyDescent="0.25">
      <c r="A794">
        <v>71</v>
      </c>
      <c r="B794" t="s">
        <v>9</v>
      </c>
      <c r="C794">
        <v>529.17231730000003</v>
      </c>
      <c r="D794" s="1">
        <v>44861</v>
      </c>
    </row>
    <row r="795" spans="1:4" x14ac:dyDescent="0.25">
      <c r="A795">
        <v>77</v>
      </c>
      <c r="B795" t="s">
        <v>11</v>
      </c>
      <c r="C795">
        <v>476.28118569999998</v>
      </c>
      <c r="D795" s="1">
        <v>44661</v>
      </c>
    </row>
    <row r="796" spans="1:4" x14ac:dyDescent="0.25">
      <c r="A796">
        <v>72</v>
      </c>
      <c r="B796" t="s">
        <v>12</v>
      </c>
      <c r="C796">
        <v>475.31330630000002</v>
      </c>
      <c r="D796" s="1">
        <v>44730</v>
      </c>
    </row>
    <row r="797" spans="1:4" x14ac:dyDescent="0.25">
      <c r="A797">
        <v>75</v>
      </c>
      <c r="B797" t="s">
        <v>8</v>
      </c>
      <c r="C797">
        <v>531.77039460000003</v>
      </c>
      <c r="D797" s="1">
        <v>44754</v>
      </c>
    </row>
    <row r="798" spans="1:4" x14ac:dyDescent="0.25">
      <c r="A798">
        <v>17</v>
      </c>
      <c r="B798" t="s">
        <v>10</v>
      </c>
      <c r="C798">
        <v>459.29420750000003</v>
      </c>
      <c r="D798" s="1">
        <v>44867</v>
      </c>
    </row>
    <row r="799" spans="1:4" x14ac:dyDescent="0.25">
      <c r="A799">
        <v>71</v>
      </c>
      <c r="B799" t="s">
        <v>6</v>
      </c>
      <c r="C799">
        <v>459.16719949999998</v>
      </c>
      <c r="D799" s="1">
        <v>44738</v>
      </c>
    </row>
    <row r="800" spans="1:4" x14ac:dyDescent="0.25">
      <c r="A800">
        <v>55</v>
      </c>
      <c r="B800" t="s">
        <v>11</v>
      </c>
      <c r="C800">
        <v>564.70809889999998</v>
      </c>
      <c r="D800" s="1">
        <v>44762</v>
      </c>
    </row>
    <row r="801" spans="1:4" x14ac:dyDescent="0.25">
      <c r="A801">
        <v>19</v>
      </c>
      <c r="B801" t="s">
        <v>11</v>
      </c>
      <c r="C801">
        <v>340.68503959999998</v>
      </c>
      <c r="D801" s="1">
        <v>44748</v>
      </c>
    </row>
    <row r="802" spans="1:4" x14ac:dyDescent="0.25">
      <c r="A802">
        <v>15</v>
      </c>
      <c r="B802" t="s">
        <v>5</v>
      </c>
      <c r="C802">
        <v>539.37195510000004</v>
      </c>
      <c r="D802" s="1">
        <v>44596</v>
      </c>
    </row>
    <row r="803" spans="1:4" x14ac:dyDescent="0.25">
      <c r="A803">
        <v>46</v>
      </c>
      <c r="B803" t="s">
        <v>6</v>
      </c>
      <c r="C803">
        <v>409.89231380000001</v>
      </c>
      <c r="D803" s="1">
        <v>44733</v>
      </c>
    </row>
    <row r="804" spans="1:4" x14ac:dyDescent="0.25">
      <c r="A804">
        <v>14</v>
      </c>
      <c r="B804" t="s">
        <v>10</v>
      </c>
      <c r="C804">
        <v>386.83763099999999</v>
      </c>
      <c r="D804" s="1">
        <v>44917</v>
      </c>
    </row>
    <row r="805" spans="1:4" x14ac:dyDescent="0.25">
      <c r="A805">
        <v>90</v>
      </c>
      <c r="B805" t="s">
        <v>13</v>
      </c>
      <c r="C805">
        <v>500.50201320000002</v>
      </c>
      <c r="D805" s="1">
        <v>44897</v>
      </c>
    </row>
    <row r="806" spans="1:4" x14ac:dyDescent="0.25">
      <c r="A806">
        <v>27</v>
      </c>
      <c r="B806" t="s">
        <v>9</v>
      </c>
      <c r="C806">
        <v>613.98057700000004</v>
      </c>
      <c r="D806" s="1">
        <v>44675</v>
      </c>
    </row>
    <row r="807" spans="1:4" x14ac:dyDescent="0.25">
      <c r="A807">
        <v>81</v>
      </c>
      <c r="B807" t="s">
        <v>13</v>
      </c>
      <c r="C807">
        <v>570.53485079999996</v>
      </c>
      <c r="D807" s="1">
        <v>44830</v>
      </c>
    </row>
    <row r="808" spans="1:4" x14ac:dyDescent="0.25">
      <c r="A808">
        <v>33</v>
      </c>
      <c r="B808" t="s">
        <v>6</v>
      </c>
      <c r="C808">
        <v>399.16877629999999</v>
      </c>
      <c r="D808" s="1">
        <v>44599</v>
      </c>
    </row>
    <row r="809" spans="1:4" x14ac:dyDescent="0.25">
      <c r="A809">
        <v>50</v>
      </c>
      <c r="B809" t="s">
        <v>11</v>
      </c>
      <c r="C809">
        <v>620.73714759999996</v>
      </c>
      <c r="D809" s="1">
        <v>44834</v>
      </c>
    </row>
    <row r="810" spans="1:4" x14ac:dyDescent="0.25">
      <c r="A810">
        <v>18</v>
      </c>
      <c r="B810" t="s">
        <v>4</v>
      </c>
      <c r="C810">
        <v>489.1501715</v>
      </c>
      <c r="D810" s="1">
        <v>44750</v>
      </c>
    </row>
    <row r="811" spans="1:4" x14ac:dyDescent="0.25">
      <c r="A811">
        <v>20</v>
      </c>
      <c r="B811" t="s">
        <v>9</v>
      </c>
      <c r="C811">
        <v>554.50972569999999</v>
      </c>
      <c r="D811" s="1">
        <v>44583</v>
      </c>
    </row>
    <row r="812" spans="1:4" x14ac:dyDescent="0.25">
      <c r="A812">
        <v>91</v>
      </c>
      <c r="B812" t="s">
        <v>4</v>
      </c>
      <c r="C812">
        <v>637.84856820000005</v>
      </c>
      <c r="D812" s="1">
        <v>44740</v>
      </c>
    </row>
    <row r="813" spans="1:4" x14ac:dyDescent="0.25">
      <c r="A813">
        <v>42</v>
      </c>
      <c r="B813" t="s">
        <v>7</v>
      </c>
      <c r="C813">
        <v>483.63231039999999</v>
      </c>
      <c r="D813" s="1">
        <v>44618</v>
      </c>
    </row>
    <row r="814" spans="1:4" x14ac:dyDescent="0.25">
      <c r="A814">
        <v>74</v>
      </c>
      <c r="B814" t="s">
        <v>6</v>
      </c>
      <c r="C814">
        <v>399.4869951</v>
      </c>
      <c r="D814" s="1">
        <v>44870</v>
      </c>
    </row>
    <row r="815" spans="1:4" x14ac:dyDescent="0.25">
      <c r="A815">
        <v>53</v>
      </c>
      <c r="B815" t="s">
        <v>7</v>
      </c>
      <c r="C815">
        <v>564.35872199999994</v>
      </c>
      <c r="D815" s="1">
        <v>44796</v>
      </c>
    </row>
    <row r="816" spans="1:4" x14ac:dyDescent="0.25">
      <c r="A816">
        <v>63</v>
      </c>
      <c r="B816" t="s">
        <v>12</v>
      </c>
      <c r="C816">
        <v>461.71998029999997</v>
      </c>
      <c r="D816" s="1">
        <v>44926</v>
      </c>
    </row>
    <row r="817" spans="1:4" x14ac:dyDescent="0.25">
      <c r="A817">
        <v>73</v>
      </c>
      <c r="B817" t="s">
        <v>9</v>
      </c>
      <c r="C817">
        <v>301.56454029999998</v>
      </c>
      <c r="D817" s="1">
        <v>44625</v>
      </c>
    </row>
    <row r="818" spans="1:4" x14ac:dyDescent="0.25">
      <c r="A818">
        <v>31</v>
      </c>
      <c r="B818" t="s">
        <v>4</v>
      </c>
      <c r="C818">
        <v>539.24756160000004</v>
      </c>
      <c r="D818" s="1">
        <v>44854</v>
      </c>
    </row>
    <row r="819" spans="1:4" x14ac:dyDescent="0.25">
      <c r="A819">
        <v>83</v>
      </c>
      <c r="B819" t="s">
        <v>13</v>
      </c>
      <c r="C819">
        <v>511.90362929999998</v>
      </c>
      <c r="D819" s="1">
        <v>44852</v>
      </c>
    </row>
    <row r="820" spans="1:4" x14ac:dyDescent="0.25">
      <c r="A820">
        <v>55</v>
      </c>
      <c r="B820" t="s">
        <v>13</v>
      </c>
      <c r="C820">
        <v>425.95229899999998</v>
      </c>
      <c r="D820" s="1">
        <v>44573</v>
      </c>
    </row>
    <row r="821" spans="1:4" x14ac:dyDescent="0.25">
      <c r="A821">
        <v>18</v>
      </c>
      <c r="B821" t="s">
        <v>13</v>
      </c>
      <c r="C821">
        <v>575.93567489999998</v>
      </c>
      <c r="D821" s="1">
        <v>44676</v>
      </c>
    </row>
    <row r="822" spans="1:4" x14ac:dyDescent="0.25">
      <c r="A822">
        <v>44</v>
      </c>
      <c r="B822" t="s">
        <v>4</v>
      </c>
      <c r="C822">
        <v>357.04001670000002</v>
      </c>
      <c r="D822" s="1">
        <v>44721</v>
      </c>
    </row>
    <row r="823" spans="1:4" x14ac:dyDescent="0.25">
      <c r="A823">
        <v>92</v>
      </c>
      <c r="B823" t="s">
        <v>7</v>
      </c>
      <c r="C823">
        <v>415.6392108</v>
      </c>
      <c r="D823" s="1">
        <v>44853</v>
      </c>
    </row>
    <row r="824" spans="1:4" x14ac:dyDescent="0.25">
      <c r="A824">
        <v>21</v>
      </c>
      <c r="B824" t="s">
        <v>11</v>
      </c>
      <c r="C824">
        <v>530.99485189999996</v>
      </c>
      <c r="D824" s="1">
        <v>44583</v>
      </c>
    </row>
    <row r="825" spans="1:4" x14ac:dyDescent="0.25">
      <c r="A825">
        <v>29</v>
      </c>
      <c r="B825" t="s">
        <v>5</v>
      </c>
      <c r="C825">
        <v>395.79194619999998</v>
      </c>
      <c r="D825" s="1">
        <v>44710</v>
      </c>
    </row>
    <row r="826" spans="1:4" x14ac:dyDescent="0.25">
      <c r="A826">
        <v>36</v>
      </c>
      <c r="B826" t="s">
        <v>12</v>
      </c>
      <c r="C826">
        <v>481.18014099999999</v>
      </c>
      <c r="D826" s="1">
        <v>44571</v>
      </c>
    </row>
    <row r="827" spans="1:4" x14ac:dyDescent="0.25">
      <c r="A827">
        <v>84</v>
      </c>
      <c r="B827" t="s">
        <v>11</v>
      </c>
      <c r="C827">
        <v>342.17396580000002</v>
      </c>
      <c r="D827" s="1">
        <v>44760</v>
      </c>
    </row>
    <row r="828" spans="1:4" x14ac:dyDescent="0.25">
      <c r="A828">
        <v>23</v>
      </c>
      <c r="B828" t="s">
        <v>11</v>
      </c>
      <c r="C828">
        <v>619.0112752</v>
      </c>
      <c r="D828" s="1">
        <v>44659</v>
      </c>
    </row>
    <row r="829" spans="1:4" x14ac:dyDescent="0.25">
      <c r="A829">
        <v>42</v>
      </c>
      <c r="B829" t="s">
        <v>9</v>
      </c>
      <c r="C829">
        <v>678.01840560000005</v>
      </c>
      <c r="D829" s="1">
        <v>44638</v>
      </c>
    </row>
    <row r="830" spans="1:4" x14ac:dyDescent="0.25">
      <c r="A830">
        <v>69</v>
      </c>
      <c r="B830" t="s">
        <v>7</v>
      </c>
      <c r="C830">
        <v>605.50446350000004</v>
      </c>
      <c r="D830" s="1">
        <v>44617</v>
      </c>
    </row>
    <row r="831" spans="1:4" x14ac:dyDescent="0.25">
      <c r="A831">
        <v>66</v>
      </c>
      <c r="B831" t="s">
        <v>12</v>
      </c>
      <c r="C831">
        <v>644.3759192</v>
      </c>
      <c r="D831" s="1">
        <v>44562</v>
      </c>
    </row>
    <row r="832" spans="1:4" x14ac:dyDescent="0.25">
      <c r="A832">
        <v>82</v>
      </c>
      <c r="B832" t="s">
        <v>13</v>
      </c>
      <c r="C832">
        <v>440.8353444</v>
      </c>
      <c r="D832" s="1">
        <v>44603</v>
      </c>
    </row>
    <row r="833" spans="1:4" x14ac:dyDescent="0.25">
      <c r="A833">
        <v>76</v>
      </c>
      <c r="B833" t="s">
        <v>4</v>
      </c>
      <c r="C833">
        <v>641.41921820000005</v>
      </c>
      <c r="D833" s="1">
        <v>44582</v>
      </c>
    </row>
    <row r="834" spans="1:4" x14ac:dyDescent="0.25">
      <c r="A834">
        <v>62</v>
      </c>
      <c r="B834" t="s">
        <v>11</v>
      </c>
      <c r="C834">
        <v>544.68437359999996</v>
      </c>
      <c r="D834" s="1">
        <v>44605</v>
      </c>
    </row>
    <row r="835" spans="1:4" x14ac:dyDescent="0.25">
      <c r="A835">
        <v>64</v>
      </c>
      <c r="B835" t="s">
        <v>5</v>
      </c>
      <c r="C835">
        <v>379.11281400000001</v>
      </c>
      <c r="D835" s="1">
        <v>44702</v>
      </c>
    </row>
    <row r="836" spans="1:4" x14ac:dyDescent="0.25">
      <c r="A836">
        <v>77</v>
      </c>
      <c r="B836" t="s">
        <v>6</v>
      </c>
      <c r="C836">
        <v>467.6400438</v>
      </c>
      <c r="D836" s="1">
        <v>44623</v>
      </c>
    </row>
    <row r="837" spans="1:4" x14ac:dyDescent="0.25">
      <c r="A837">
        <v>51</v>
      </c>
      <c r="B837" t="s">
        <v>4</v>
      </c>
      <c r="C837">
        <v>664.85902069999997</v>
      </c>
      <c r="D837" s="1">
        <v>44796</v>
      </c>
    </row>
    <row r="838" spans="1:4" x14ac:dyDescent="0.25">
      <c r="A838">
        <v>18</v>
      </c>
      <c r="B838" t="s">
        <v>10</v>
      </c>
      <c r="C838">
        <v>537.08310670000003</v>
      </c>
      <c r="D838" s="1">
        <v>44640</v>
      </c>
    </row>
    <row r="839" spans="1:4" x14ac:dyDescent="0.25">
      <c r="A839">
        <v>10</v>
      </c>
      <c r="B839" t="s">
        <v>10</v>
      </c>
      <c r="C839">
        <v>508.12191610000002</v>
      </c>
      <c r="D839" s="1">
        <v>44810</v>
      </c>
    </row>
    <row r="840" spans="1:4" x14ac:dyDescent="0.25">
      <c r="A840">
        <v>73</v>
      </c>
      <c r="B840" t="s">
        <v>11</v>
      </c>
      <c r="C840">
        <v>606.78102630000001</v>
      </c>
      <c r="D840" s="1">
        <v>44922</v>
      </c>
    </row>
    <row r="841" spans="1:4" x14ac:dyDescent="0.25">
      <c r="A841">
        <v>99</v>
      </c>
      <c r="B841" t="s">
        <v>7</v>
      </c>
      <c r="C841">
        <v>368.5821995</v>
      </c>
      <c r="D841" s="1">
        <v>44649</v>
      </c>
    </row>
    <row r="842" spans="1:4" x14ac:dyDescent="0.25">
      <c r="A842">
        <v>93</v>
      </c>
      <c r="B842" t="s">
        <v>6</v>
      </c>
      <c r="C842">
        <v>597.50070310000001</v>
      </c>
      <c r="D842" s="1">
        <v>44577</v>
      </c>
    </row>
    <row r="843" spans="1:4" x14ac:dyDescent="0.25">
      <c r="A843">
        <v>86</v>
      </c>
      <c r="B843" t="s">
        <v>6</v>
      </c>
      <c r="C843">
        <v>413.93921949999998</v>
      </c>
      <c r="D843" s="1">
        <v>44907</v>
      </c>
    </row>
    <row r="844" spans="1:4" x14ac:dyDescent="0.25">
      <c r="A844">
        <v>83</v>
      </c>
      <c r="B844" t="s">
        <v>7</v>
      </c>
      <c r="C844">
        <v>321.5193155</v>
      </c>
      <c r="D844" s="1">
        <v>44779</v>
      </c>
    </row>
    <row r="845" spans="1:4" x14ac:dyDescent="0.25">
      <c r="A845">
        <v>72</v>
      </c>
      <c r="B845" t="s">
        <v>9</v>
      </c>
      <c r="C845">
        <v>522.95063300000004</v>
      </c>
      <c r="D845" s="1">
        <v>44773</v>
      </c>
    </row>
    <row r="846" spans="1:4" x14ac:dyDescent="0.25">
      <c r="A846">
        <v>97</v>
      </c>
      <c r="B846" t="s">
        <v>8</v>
      </c>
      <c r="C846">
        <v>626.48885359999997</v>
      </c>
      <c r="D846" s="1">
        <v>44616</v>
      </c>
    </row>
    <row r="847" spans="1:4" x14ac:dyDescent="0.25">
      <c r="A847">
        <v>2</v>
      </c>
      <c r="B847" t="s">
        <v>9</v>
      </c>
      <c r="C847">
        <v>428.58993240000001</v>
      </c>
      <c r="D847" s="1">
        <v>44666</v>
      </c>
    </row>
    <row r="848" spans="1:4" x14ac:dyDescent="0.25">
      <c r="A848">
        <v>43</v>
      </c>
      <c r="B848" t="s">
        <v>5</v>
      </c>
      <c r="C848">
        <v>349.76897330000003</v>
      </c>
      <c r="D848" s="1">
        <v>44888</v>
      </c>
    </row>
    <row r="849" spans="1:4" x14ac:dyDescent="0.25">
      <c r="A849">
        <v>5</v>
      </c>
      <c r="B849" t="s">
        <v>13</v>
      </c>
      <c r="C849">
        <v>562.68407820000004</v>
      </c>
      <c r="D849" s="1">
        <v>44787</v>
      </c>
    </row>
    <row r="850" spans="1:4" x14ac:dyDescent="0.25">
      <c r="A850">
        <v>85</v>
      </c>
      <c r="B850" t="s">
        <v>4</v>
      </c>
      <c r="C850">
        <v>412.14273630000002</v>
      </c>
      <c r="D850" s="1">
        <v>44599</v>
      </c>
    </row>
    <row r="851" spans="1:4" x14ac:dyDescent="0.25">
      <c r="A851">
        <v>95</v>
      </c>
      <c r="B851" t="s">
        <v>11</v>
      </c>
      <c r="C851">
        <v>445.20609250000001</v>
      </c>
      <c r="D851" s="1">
        <v>44733</v>
      </c>
    </row>
    <row r="852" spans="1:4" x14ac:dyDescent="0.25">
      <c r="A852">
        <v>100</v>
      </c>
      <c r="B852" t="s">
        <v>11</v>
      </c>
      <c r="C852">
        <v>561.02317630000005</v>
      </c>
      <c r="D852" s="1">
        <v>44918</v>
      </c>
    </row>
    <row r="853" spans="1:4" x14ac:dyDescent="0.25">
      <c r="A853">
        <v>27</v>
      </c>
      <c r="B853" t="s">
        <v>5</v>
      </c>
      <c r="C853">
        <v>568.00383290000002</v>
      </c>
      <c r="D853" s="1">
        <v>44813</v>
      </c>
    </row>
    <row r="854" spans="1:4" x14ac:dyDescent="0.25">
      <c r="A854">
        <v>23</v>
      </c>
      <c r="B854" t="s">
        <v>8</v>
      </c>
      <c r="C854">
        <v>468.24341800000002</v>
      </c>
      <c r="D854" s="1">
        <v>44633</v>
      </c>
    </row>
    <row r="855" spans="1:4" x14ac:dyDescent="0.25">
      <c r="A855">
        <v>3</v>
      </c>
      <c r="B855" t="s">
        <v>13</v>
      </c>
      <c r="C855">
        <v>625.26148269999999</v>
      </c>
      <c r="D855" s="1">
        <v>44649</v>
      </c>
    </row>
    <row r="856" spans="1:4" x14ac:dyDescent="0.25">
      <c r="A856">
        <v>15</v>
      </c>
      <c r="B856" t="s">
        <v>6</v>
      </c>
      <c r="C856">
        <v>460.06093499999997</v>
      </c>
      <c r="D856" s="1">
        <v>44581</v>
      </c>
    </row>
    <row r="857" spans="1:4" x14ac:dyDescent="0.25">
      <c r="A857">
        <v>58</v>
      </c>
      <c r="B857" t="s">
        <v>5</v>
      </c>
      <c r="C857">
        <v>581.27666529999999</v>
      </c>
      <c r="D857" s="1">
        <v>44570</v>
      </c>
    </row>
    <row r="858" spans="1:4" x14ac:dyDescent="0.25">
      <c r="A858">
        <v>7</v>
      </c>
      <c r="B858" t="s">
        <v>9</v>
      </c>
      <c r="C858">
        <v>508.03958499999999</v>
      </c>
      <c r="D858" s="1">
        <v>44882</v>
      </c>
    </row>
    <row r="859" spans="1:4" x14ac:dyDescent="0.25">
      <c r="A859">
        <v>34</v>
      </c>
      <c r="B859" t="s">
        <v>10</v>
      </c>
      <c r="C859">
        <v>621.77447419999999</v>
      </c>
      <c r="D859" s="1">
        <v>44710</v>
      </c>
    </row>
    <row r="860" spans="1:4" x14ac:dyDescent="0.25">
      <c r="A860">
        <v>31</v>
      </c>
      <c r="B860" t="s">
        <v>10</v>
      </c>
      <c r="C860">
        <v>595.32749100000001</v>
      </c>
      <c r="D860" s="1">
        <v>44761</v>
      </c>
    </row>
    <row r="861" spans="1:4" x14ac:dyDescent="0.25">
      <c r="A861">
        <v>82</v>
      </c>
      <c r="B861" t="s">
        <v>6</v>
      </c>
      <c r="C861">
        <v>514.40534100000002</v>
      </c>
      <c r="D861" s="1">
        <v>44697</v>
      </c>
    </row>
    <row r="862" spans="1:4" x14ac:dyDescent="0.25">
      <c r="A862">
        <v>18</v>
      </c>
      <c r="B862" t="s">
        <v>12</v>
      </c>
      <c r="C862">
        <v>471.66560149999998</v>
      </c>
      <c r="D862" s="1">
        <v>44632</v>
      </c>
    </row>
    <row r="863" spans="1:4" x14ac:dyDescent="0.25">
      <c r="A863">
        <v>99</v>
      </c>
      <c r="B863" t="s">
        <v>12</v>
      </c>
      <c r="C863">
        <v>604.55027070000006</v>
      </c>
      <c r="D863" s="1">
        <v>44608</v>
      </c>
    </row>
    <row r="864" spans="1:4" x14ac:dyDescent="0.25">
      <c r="A864">
        <v>46</v>
      </c>
      <c r="B864" t="s">
        <v>8</v>
      </c>
      <c r="C864">
        <v>479.03829489999998</v>
      </c>
      <c r="D864" s="1">
        <v>44769</v>
      </c>
    </row>
    <row r="865" spans="1:4" x14ac:dyDescent="0.25">
      <c r="A865">
        <v>9</v>
      </c>
      <c r="B865" t="s">
        <v>5</v>
      </c>
      <c r="C865">
        <v>559.72832289999997</v>
      </c>
      <c r="D865" s="1">
        <v>44764</v>
      </c>
    </row>
    <row r="866" spans="1:4" x14ac:dyDescent="0.25">
      <c r="A866">
        <v>79</v>
      </c>
      <c r="B866" t="s">
        <v>4</v>
      </c>
      <c r="C866">
        <v>341.84314080000001</v>
      </c>
      <c r="D866" s="1">
        <v>44754</v>
      </c>
    </row>
    <row r="867" spans="1:4" x14ac:dyDescent="0.25">
      <c r="A867">
        <v>17</v>
      </c>
      <c r="B867" t="s">
        <v>10</v>
      </c>
      <c r="C867">
        <v>539.15040499999998</v>
      </c>
      <c r="D867" s="1">
        <v>44754</v>
      </c>
    </row>
    <row r="868" spans="1:4" x14ac:dyDescent="0.25">
      <c r="A868">
        <v>7</v>
      </c>
      <c r="B868" t="s">
        <v>6</v>
      </c>
      <c r="C868">
        <v>410.3898284</v>
      </c>
      <c r="D868" s="1">
        <v>44766</v>
      </c>
    </row>
    <row r="869" spans="1:4" x14ac:dyDescent="0.25">
      <c r="A869">
        <v>94</v>
      </c>
      <c r="B869" t="s">
        <v>7</v>
      </c>
      <c r="C869">
        <v>580.91974100000004</v>
      </c>
      <c r="D869" s="1">
        <v>44677</v>
      </c>
    </row>
    <row r="870" spans="1:4" x14ac:dyDescent="0.25">
      <c r="A870">
        <v>8</v>
      </c>
      <c r="B870" t="s">
        <v>7</v>
      </c>
      <c r="C870">
        <v>669.89193450000005</v>
      </c>
      <c r="D870" s="1">
        <v>44911</v>
      </c>
    </row>
    <row r="871" spans="1:4" x14ac:dyDescent="0.25">
      <c r="A871">
        <v>65</v>
      </c>
      <c r="B871" t="s">
        <v>11</v>
      </c>
      <c r="C871">
        <v>345.40085210000001</v>
      </c>
      <c r="D871" s="1">
        <v>44690</v>
      </c>
    </row>
    <row r="872" spans="1:4" x14ac:dyDescent="0.25">
      <c r="A872">
        <v>9</v>
      </c>
      <c r="B872" t="s">
        <v>9</v>
      </c>
      <c r="C872">
        <v>602.25578970000004</v>
      </c>
      <c r="D872" s="1">
        <v>44822</v>
      </c>
    </row>
    <row r="873" spans="1:4" x14ac:dyDescent="0.25">
      <c r="A873">
        <v>99</v>
      </c>
      <c r="B873" t="s">
        <v>8</v>
      </c>
      <c r="C873">
        <v>474.99607639999999</v>
      </c>
      <c r="D873" s="1">
        <v>44804</v>
      </c>
    </row>
    <row r="874" spans="1:4" x14ac:dyDescent="0.25">
      <c r="A874">
        <v>25</v>
      </c>
      <c r="B874" t="s">
        <v>9</v>
      </c>
      <c r="C874">
        <v>370.33982370000001</v>
      </c>
      <c r="D874" s="1">
        <v>44773</v>
      </c>
    </row>
    <row r="875" spans="1:4" x14ac:dyDescent="0.25">
      <c r="A875">
        <v>2</v>
      </c>
      <c r="B875" t="s">
        <v>7</v>
      </c>
      <c r="C875">
        <v>513.51017879999995</v>
      </c>
      <c r="D875" s="1">
        <v>44690</v>
      </c>
    </row>
    <row r="876" spans="1:4" x14ac:dyDescent="0.25">
      <c r="A876">
        <v>11</v>
      </c>
      <c r="B876" t="s">
        <v>11</v>
      </c>
      <c r="C876">
        <v>562.18578009999999</v>
      </c>
      <c r="D876" s="1">
        <v>44802</v>
      </c>
    </row>
    <row r="877" spans="1:4" x14ac:dyDescent="0.25">
      <c r="A877">
        <v>68</v>
      </c>
      <c r="B877" t="s">
        <v>7</v>
      </c>
      <c r="C877">
        <v>398.68772469999999</v>
      </c>
      <c r="D877" s="1">
        <v>44693</v>
      </c>
    </row>
    <row r="878" spans="1:4" x14ac:dyDescent="0.25">
      <c r="A878">
        <v>40</v>
      </c>
      <c r="B878" t="s">
        <v>8</v>
      </c>
      <c r="C878">
        <v>483.68176099999999</v>
      </c>
      <c r="D878" s="1">
        <v>44839</v>
      </c>
    </row>
    <row r="879" spans="1:4" x14ac:dyDescent="0.25">
      <c r="A879">
        <v>20</v>
      </c>
      <c r="B879" t="s">
        <v>9</v>
      </c>
      <c r="C879">
        <v>596.66371070000002</v>
      </c>
      <c r="D879" s="1">
        <v>44586</v>
      </c>
    </row>
    <row r="880" spans="1:4" x14ac:dyDescent="0.25">
      <c r="A880">
        <v>11</v>
      </c>
      <c r="B880" t="s">
        <v>7</v>
      </c>
      <c r="C880">
        <v>534.74852620000001</v>
      </c>
      <c r="D880" s="1">
        <v>44901</v>
      </c>
    </row>
    <row r="881" spans="1:4" x14ac:dyDescent="0.25">
      <c r="A881">
        <v>18</v>
      </c>
      <c r="B881" t="s">
        <v>10</v>
      </c>
      <c r="C881">
        <v>516.63778260000004</v>
      </c>
      <c r="D881" s="1">
        <v>44679</v>
      </c>
    </row>
    <row r="882" spans="1:4" x14ac:dyDescent="0.25">
      <c r="A882">
        <v>54</v>
      </c>
      <c r="B882" t="s">
        <v>10</v>
      </c>
      <c r="C882">
        <v>375.21894350000002</v>
      </c>
      <c r="D882" s="1">
        <v>44571</v>
      </c>
    </row>
    <row r="883" spans="1:4" x14ac:dyDescent="0.25">
      <c r="A883">
        <v>14</v>
      </c>
      <c r="B883" t="s">
        <v>8</v>
      </c>
      <c r="C883">
        <v>401.51868480000002</v>
      </c>
      <c r="D883" s="1">
        <v>44867</v>
      </c>
    </row>
    <row r="884" spans="1:4" x14ac:dyDescent="0.25">
      <c r="A884">
        <v>67</v>
      </c>
      <c r="B884" t="s">
        <v>4</v>
      </c>
      <c r="C884">
        <v>544.12265679999996</v>
      </c>
      <c r="D884" s="1">
        <v>44690</v>
      </c>
    </row>
    <row r="885" spans="1:4" x14ac:dyDescent="0.25">
      <c r="A885">
        <v>92</v>
      </c>
      <c r="B885" t="s">
        <v>13</v>
      </c>
      <c r="C885">
        <v>437.77106550000002</v>
      </c>
      <c r="D885" s="1">
        <v>44838</v>
      </c>
    </row>
    <row r="886" spans="1:4" x14ac:dyDescent="0.25">
      <c r="A886">
        <v>67</v>
      </c>
      <c r="B886" t="s">
        <v>9</v>
      </c>
      <c r="C886">
        <v>269.88882699999999</v>
      </c>
      <c r="D886" s="1">
        <v>44661</v>
      </c>
    </row>
    <row r="887" spans="1:4" x14ac:dyDescent="0.25">
      <c r="A887">
        <v>92</v>
      </c>
      <c r="B887" t="s">
        <v>12</v>
      </c>
      <c r="C887">
        <v>553.53782230000002</v>
      </c>
      <c r="D887" s="1">
        <v>44751</v>
      </c>
    </row>
    <row r="888" spans="1:4" x14ac:dyDescent="0.25">
      <c r="A888">
        <v>93</v>
      </c>
      <c r="B888" t="s">
        <v>4</v>
      </c>
      <c r="C888">
        <v>695.39019670000005</v>
      </c>
      <c r="D888" s="1">
        <v>44587</v>
      </c>
    </row>
    <row r="889" spans="1:4" x14ac:dyDescent="0.25">
      <c r="A889">
        <v>39</v>
      </c>
      <c r="B889" t="s">
        <v>4</v>
      </c>
      <c r="C889">
        <v>623.18778229999998</v>
      </c>
      <c r="D889" s="1">
        <v>44641</v>
      </c>
    </row>
    <row r="890" spans="1:4" x14ac:dyDescent="0.25">
      <c r="A890">
        <v>23</v>
      </c>
      <c r="B890" t="s">
        <v>4</v>
      </c>
      <c r="C890">
        <v>459.68178640000002</v>
      </c>
      <c r="D890" s="1">
        <v>44749</v>
      </c>
    </row>
    <row r="891" spans="1:4" x14ac:dyDescent="0.25">
      <c r="A891">
        <v>79</v>
      </c>
      <c r="B891" t="s">
        <v>11</v>
      </c>
      <c r="C891">
        <v>376.6212357</v>
      </c>
      <c r="D891" s="1">
        <v>44615</v>
      </c>
    </row>
    <row r="892" spans="1:4" x14ac:dyDescent="0.25">
      <c r="A892">
        <v>87</v>
      </c>
      <c r="B892" t="s">
        <v>6</v>
      </c>
      <c r="C892">
        <v>468.1029001</v>
      </c>
      <c r="D892" s="1">
        <v>44751</v>
      </c>
    </row>
    <row r="893" spans="1:4" x14ac:dyDescent="0.25">
      <c r="A893">
        <v>88</v>
      </c>
      <c r="B893" t="s">
        <v>12</v>
      </c>
      <c r="C893">
        <v>542.87227919999998</v>
      </c>
      <c r="D893" s="1">
        <v>44691</v>
      </c>
    </row>
    <row r="894" spans="1:4" x14ac:dyDescent="0.25">
      <c r="A894">
        <v>40</v>
      </c>
      <c r="B894" t="s">
        <v>6</v>
      </c>
      <c r="C894">
        <v>491.06362000000001</v>
      </c>
      <c r="D894" s="1">
        <v>44785</v>
      </c>
    </row>
    <row r="895" spans="1:4" x14ac:dyDescent="0.25">
      <c r="A895">
        <v>33</v>
      </c>
      <c r="B895" t="s">
        <v>13</v>
      </c>
      <c r="C895">
        <v>513.28091540000003</v>
      </c>
      <c r="D895" s="1">
        <v>44843</v>
      </c>
    </row>
    <row r="896" spans="1:4" x14ac:dyDescent="0.25">
      <c r="A896">
        <v>37</v>
      </c>
      <c r="B896" t="s">
        <v>13</v>
      </c>
      <c r="C896">
        <v>585.95507750000002</v>
      </c>
      <c r="D896" s="1">
        <v>44786</v>
      </c>
    </row>
    <row r="897" spans="1:4" x14ac:dyDescent="0.25">
      <c r="A897">
        <v>60</v>
      </c>
      <c r="B897" t="s">
        <v>10</v>
      </c>
      <c r="C897">
        <v>416.34561380000002</v>
      </c>
      <c r="D897" s="1">
        <v>44889</v>
      </c>
    </row>
    <row r="898" spans="1:4" x14ac:dyDescent="0.25">
      <c r="A898">
        <v>29</v>
      </c>
      <c r="B898" t="s">
        <v>6</v>
      </c>
      <c r="C898">
        <v>528.70220019999999</v>
      </c>
      <c r="D898" s="1">
        <v>44878</v>
      </c>
    </row>
    <row r="899" spans="1:4" x14ac:dyDescent="0.25">
      <c r="A899">
        <v>70</v>
      </c>
      <c r="B899" t="s">
        <v>8</v>
      </c>
      <c r="C899">
        <v>551.66475679999996</v>
      </c>
      <c r="D899" s="1">
        <v>44656</v>
      </c>
    </row>
    <row r="900" spans="1:4" x14ac:dyDescent="0.25">
      <c r="A900">
        <v>25</v>
      </c>
      <c r="B900" t="s">
        <v>12</v>
      </c>
      <c r="C900">
        <v>664.87022839999997</v>
      </c>
      <c r="D900" s="1">
        <v>44612</v>
      </c>
    </row>
    <row r="901" spans="1:4" x14ac:dyDescent="0.25">
      <c r="A901">
        <v>42</v>
      </c>
      <c r="B901" t="s">
        <v>9</v>
      </c>
      <c r="C901">
        <v>207.33714119999999</v>
      </c>
      <c r="D901" s="1">
        <v>44880</v>
      </c>
    </row>
    <row r="902" spans="1:4" x14ac:dyDescent="0.25">
      <c r="A902">
        <v>26</v>
      </c>
      <c r="B902" t="s">
        <v>8</v>
      </c>
      <c r="C902">
        <v>459.8976035</v>
      </c>
      <c r="D902" s="1">
        <v>44796</v>
      </c>
    </row>
    <row r="903" spans="1:4" x14ac:dyDescent="0.25">
      <c r="A903">
        <v>88</v>
      </c>
      <c r="B903" t="s">
        <v>9</v>
      </c>
      <c r="C903">
        <v>226.64873230000001</v>
      </c>
      <c r="D903" s="1">
        <v>44798</v>
      </c>
    </row>
    <row r="904" spans="1:4" x14ac:dyDescent="0.25">
      <c r="A904">
        <v>44</v>
      </c>
      <c r="B904" t="s">
        <v>7</v>
      </c>
      <c r="C904">
        <v>454.45294999999999</v>
      </c>
      <c r="D904" s="1">
        <v>44808</v>
      </c>
    </row>
    <row r="905" spans="1:4" x14ac:dyDescent="0.25">
      <c r="A905">
        <v>96</v>
      </c>
      <c r="B905" t="s">
        <v>6</v>
      </c>
      <c r="C905">
        <v>593.58497320000004</v>
      </c>
      <c r="D905" s="1">
        <v>44846</v>
      </c>
    </row>
    <row r="906" spans="1:4" x14ac:dyDescent="0.25">
      <c r="A906">
        <v>8</v>
      </c>
      <c r="B906" t="s">
        <v>7</v>
      </c>
      <c r="C906">
        <v>465.91751349999998</v>
      </c>
      <c r="D906" s="1">
        <v>44707</v>
      </c>
    </row>
    <row r="907" spans="1:4" x14ac:dyDescent="0.25">
      <c r="A907">
        <v>16</v>
      </c>
      <c r="B907" t="s">
        <v>10</v>
      </c>
      <c r="C907">
        <v>469.88274740000003</v>
      </c>
      <c r="D907" s="1">
        <v>44658</v>
      </c>
    </row>
    <row r="908" spans="1:4" x14ac:dyDescent="0.25">
      <c r="A908">
        <v>39</v>
      </c>
      <c r="B908" t="s">
        <v>12</v>
      </c>
      <c r="C908">
        <v>574.48420109999995</v>
      </c>
      <c r="D908" s="1">
        <v>44585</v>
      </c>
    </row>
    <row r="909" spans="1:4" x14ac:dyDescent="0.25">
      <c r="A909">
        <v>96</v>
      </c>
      <c r="B909" t="s">
        <v>5</v>
      </c>
      <c r="C909">
        <v>429.67872110000002</v>
      </c>
      <c r="D909" s="1">
        <v>44799</v>
      </c>
    </row>
    <row r="910" spans="1:4" x14ac:dyDescent="0.25">
      <c r="A910">
        <v>65</v>
      </c>
      <c r="B910" t="s">
        <v>8</v>
      </c>
      <c r="C910">
        <v>621.67424329999994</v>
      </c>
      <c r="D910" s="1">
        <v>44784</v>
      </c>
    </row>
    <row r="911" spans="1:4" x14ac:dyDescent="0.25">
      <c r="A911">
        <v>94</v>
      </c>
      <c r="B911" t="s">
        <v>13</v>
      </c>
      <c r="C911">
        <v>631.9372783</v>
      </c>
      <c r="D911" s="1">
        <v>44566</v>
      </c>
    </row>
    <row r="912" spans="1:4" x14ac:dyDescent="0.25">
      <c r="A912">
        <v>58</v>
      </c>
      <c r="B912" t="s">
        <v>4</v>
      </c>
      <c r="C912">
        <v>513.88287309999998</v>
      </c>
      <c r="D912" s="1">
        <v>44623</v>
      </c>
    </row>
    <row r="913" spans="1:4" x14ac:dyDescent="0.25">
      <c r="A913">
        <v>89</v>
      </c>
      <c r="B913" t="s">
        <v>10</v>
      </c>
      <c r="C913">
        <v>543.63174749999996</v>
      </c>
      <c r="D913" s="1">
        <v>44583</v>
      </c>
    </row>
    <row r="914" spans="1:4" x14ac:dyDescent="0.25">
      <c r="A914">
        <v>56</v>
      </c>
      <c r="B914" t="s">
        <v>7</v>
      </c>
      <c r="C914">
        <v>701.28542789999995</v>
      </c>
      <c r="D914" s="1">
        <v>44713</v>
      </c>
    </row>
    <row r="915" spans="1:4" x14ac:dyDescent="0.25">
      <c r="A915">
        <v>43</v>
      </c>
      <c r="B915" t="s">
        <v>5</v>
      </c>
      <c r="C915">
        <v>562.61023590000002</v>
      </c>
      <c r="D915" s="1">
        <v>44861</v>
      </c>
    </row>
    <row r="916" spans="1:4" x14ac:dyDescent="0.25">
      <c r="A916">
        <v>67</v>
      </c>
      <c r="B916" t="s">
        <v>6</v>
      </c>
      <c r="C916">
        <v>489.10857349999998</v>
      </c>
      <c r="D916" s="1">
        <v>44714</v>
      </c>
    </row>
    <row r="917" spans="1:4" x14ac:dyDescent="0.25">
      <c r="A917">
        <v>56</v>
      </c>
      <c r="B917" t="s">
        <v>9</v>
      </c>
      <c r="C917">
        <v>550.25017009999999</v>
      </c>
      <c r="D917" s="1">
        <v>44793</v>
      </c>
    </row>
    <row r="918" spans="1:4" x14ac:dyDescent="0.25">
      <c r="A918">
        <v>22</v>
      </c>
      <c r="B918" t="s">
        <v>7</v>
      </c>
      <c r="C918">
        <v>549.52791139999999</v>
      </c>
      <c r="D918" s="1">
        <v>44870</v>
      </c>
    </row>
    <row r="919" spans="1:4" x14ac:dyDescent="0.25">
      <c r="A919">
        <v>17</v>
      </c>
      <c r="B919" t="s">
        <v>11</v>
      </c>
      <c r="C919">
        <v>336.42575859999999</v>
      </c>
      <c r="D919" s="1">
        <v>44919</v>
      </c>
    </row>
    <row r="920" spans="1:4" x14ac:dyDescent="0.25">
      <c r="A920">
        <v>84</v>
      </c>
      <c r="B920" t="s">
        <v>9</v>
      </c>
      <c r="C920">
        <v>566.39915919999999</v>
      </c>
      <c r="D920" s="1">
        <v>44712</v>
      </c>
    </row>
    <row r="921" spans="1:4" x14ac:dyDescent="0.25">
      <c r="A921">
        <v>99</v>
      </c>
      <c r="B921" t="s">
        <v>11</v>
      </c>
      <c r="C921">
        <v>614.77973450000002</v>
      </c>
      <c r="D921" s="1">
        <v>44607</v>
      </c>
    </row>
    <row r="922" spans="1:4" x14ac:dyDescent="0.25">
      <c r="A922">
        <v>14</v>
      </c>
      <c r="B922" t="s">
        <v>4</v>
      </c>
      <c r="C922">
        <v>618.78602330000001</v>
      </c>
      <c r="D922" s="1">
        <v>44578</v>
      </c>
    </row>
    <row r="923" spans="1:4" x14ac:dyDescent="0.25">
      <c r="A923">
        <v>64</v>
      </c>
      <c r="B923" t="s">
        <v>12</v>
      </c>
      <c r="C923">
        <v>512.20985029999997</v>
      </c>
      <c r="D923" s="1">
        <v>44730</v>
      </c>
    </row>
    <row r="924" spans="1:4" x14ac:dyDescent="0.25">
      <c r="A924">
        <v>24</v>
      </c>
      <c r="B924" t="s">
        <v>11</v>
      </c>
      <c r="C924">
        <v>520.05741020000005</v>
      </c>
      <c r="D924" s="1">
        <v>44761</v>
      </c>
    </row>
    <row r="925" spans="1:4" x14ac:dyDescent="0.25">
      <c r="A925">
        <v>94</v>
      </c>
      <c r="B925" t="s">
        <v>11</v>
      </c>
      <c r="C925">
        <v>492.16958499999998</v>
      </c>
      <c r="D925" s="1">
        <v>44603</v>
      </c>
    </row>
    <row r="926" spans="1:4" x14ac:dyDescent="0.25">
      <c r="A926">
        <v>8</v>
      </c>
      <c r="B926" t="s">
        <v>6</v>
      </c>
      <c r="C926">
        <v>514.15275310000004</v>
      </c>
      <c r="D926" s="1">
        <v>44644</v>
      </c>
    </row>
    <row r="927" spans="1:4" x14ac:dyDescent="0.25">
      <c r="A927">
        <v>20</v>
      </c>
      <c r="B927" t="s">
        <v>13</v>
      </c>
      <c r="C927">
        <v>563.27193890000001</v>
      </c>
      <c r="D927" s="1">
        <v>44883</v>
      </c>
    </row>
    <row r="928" spans="1:4" x14ac:dyDescent="0.25">
      <c r="A928">
        <v>74</v>
      </c>
      <c r="B928" t="s">
        <v>7</v>
      </c>
      <c r="C928">
        <v>364.25208570000001</v>
      </c>
      <c r="D928" s="1">
        <v>44740</v>
      </c>
    </row>
    <row r="929" spans="1:4" x14ac:dyDescent="0.25">
      <c r="A929">
        <v>86</v>
      </c>
      <c r="B929" t="s">
        <v>9</v>
      </c>
      <c r="C929">
        <v>694.57554560000005</v>
      </c>
      <c r="D929" s="1">
        <v>44759</v>
      </c>
    </row>
    <row r="930" spans="1:4" x14ac:dyDescent="0.25">
      <c r="A930">
        <v>50</v>
      </c>
      <c r="B930" t="s">
        <v>7</v>
      </c>
      <c r="C930">
        <v>536.37933829999997</v>
      </c>
      <c r="D930" s="1">
        <v>44723</v>
      </c>
    </row>
    <row r="931" spans="1:4" x14ac:dyDescent="0.25">
      <c r="A931">
        <v>17</v>
      </c>
      <c r="B931" t="s">
        <v>6</v>
      </c>
      <c r="C931">
        <v>528.5271573</v>
      </c>
      <c r="D931" s="1">
        <v>44664</v>
      </c>
    </row>
    <row r="932" spans="1:4" x14ac:dyDescent="0.25">
      <c r="A932">
        <v>9</v>
      </c>
      <c r="B932" t="s">
        <v>11</v>
      </c>
      <c r="C932">
        <v>577.72570329999996</v>
      </c>
      <c r="D932" s="1">
        <v>44690</v>
      </c>
    </row>
    <row r="933" spans="1:4" x14ac:dyDescent="0.25">
      <c r="A933">
        <v>35</v>
      </c>
      <c r="B933" t="s">
        <v>8</v>
      </c>
      <c r="C933">
        <v>339.28727950000001</v>
      </c>
      <c r="D933" s="1">
        <v>44781</v>
      </c>
    </row>
    <row r="934" spans="1:4" x14ac:dyDescent="0.25">
      <c r="A934">
        <v>85</v>
      </c>
      <c r="B934" t="s">
        <v>13</v>
      </c>
      <c r="C934">
        <v>481.34775050000002</v>
      </c>
      <c r="D934" s="1">
        <v>44763</v>
      </c>
    </row>
    <row r="935" spans="1:4" x14ac:dyDescent="0.25">
      <c r="A935">
        <v>63</v>
      </c>
      <c r="B935" t="s">
        <v>10</v>
      </c>
      <c r="C935">
        <v>565.79111999999998</v>
      </c>
      <c r="D935" s="1">
        <v>44801</v>
      </c>
    </row>
    <row r="936" spans="1:4" x14ac:dyDescent="0.25">
      <c r="A936">
        <v>57</v>
      </c>
      <c r="B936" t="s">
        <v>5</v>
      </c>
      <c r="C936">
        <v>490.67531780000002</v>
      </c>
      <c r="D936" s="1">
        <v>44601</v>
      </c>
    </row>
    <row r="937" spans="1:4" x14ac:dyDescent="0.25">
      <c r="A937">
        <v>16</v>
      </c>
      <c r="B937" t="s">
        <v>13</v>
      </c>
      <c r="C937">
        <v>488.31245530000001</v>
      </c>
      <c r="D937" s="1">
        <v>44686</v>
      </c>
    </row>
    <row r="938" spans="1:4" x14ac:dyDescent="0.25">
      <c r="A938">
        <v>52</v>
      </c>
      <c r="B938" t="s">
        <v>9</v>
      </c>
      <c r="C938">
        <v>435.12189460000002</v>
      </c>
      <c r="D938" s="1">
        <v>44791</v>
      </c>
    </row>
    <row r="939" spans="1:4" x14ac:dyDescent="0.25">
      <c r="A939">
        <v>90</v>
      </c>
      <c r="B939" t="s">
        <v>8</v>
      </c>
      <c r="C939">
        <v>576.78961330000004</v>
      </c>
      <c r="D939" s="1">
        <v>44571</v>
      </c>
    </row>
    <row r="940" spans="1:4" x14ac:dyDescent="0.25">
      <c r="A940">
        <v>99</v>
      </c>
      <c r="B940" t="s">
        <v>4</v>
      </c>
      <c r="C940">
        <v>450.0065553</v>
      </c>
      <c r="D940" s="1">
        <v>44817</v>
      </c>
    </row>
    <row r="941" spans="1:4" x14ac:dyDescent="0.25">
      <c r="A941">
        <v>35</v>
      </c>
      <c r="B941" t="s">
        <v>13</v>
      </c>
      <c r="C941">
        <v>494.95718579999999</v>
      </c>
      <c r="D941" s="1">
        <v>44604</v>
      </c>
    </row>
    <row r="942" spans="1:4" x14ac:dyDescent="0.25">
      <c r="A942">
        <v>54</v>
      </c>
      <c r="B942" t="s">
        <v>7</v>
      </c>
      <c r="C942">
        <v>504.44376169999998</v>
      </c>
      <c r="D942" s="1">
        <v>44593</v>
      </c>
    </row>
    <row r="943" spans="1:4" x14ac:dyDescent="0.25">
      <c r="A943">
        <v>26</v>
      </c>
      <c r="B943" t="s">
        <v>10</v>
      </c>
      <c r="C943">
        <v>281.53862279999998</v>
      </c>
      <c r="D943" s="1">
        <v>44638</v>
      </c>
    </row>
    <row r="944" spans="1:4" x14ac:dyDescent="0.25">
      <c r="A944">
        <v>13</v>
      </c>
      <c r="B944" t="s">
        <v>6</v>
      </c>
      <c r="C944">
        <v>520.08949419999999</v>
      </c>
      <c r="D944" s="1">
        <v>44836</v>
      </c>
    </row>
    <row r="945" spans="1:4" x14ac:dyDescent="0.25">
      <c r="A945">
        <v>36</v>
      </c>
      <c r="B945" t="s">
        <v>8</v>
      </c>
      <c r="C945">
        <v>483.26791359999999</v>
      </c>
      <c r="D945" s="1">
        <v>44755</v>
      </c>
    </row>
    <row r="946" spans="1:4" x14ac:dyDescent="0.25">
      <c r="A946">
        <v>47</v>
      </c>
      <c r="B946" t="s">
        <v>8</v>
      </c>
      <c r="C946">
        <v>476.9433434</v>
      </c>
      <c r="D946" s="1">
        <v>44878</v>
      </c>
    </row>
    <row r="947" spans="1:4" x14ac:dyDescent="0.25">
      <c r="A947">
        <v>25</v>
      </c>
      <c r="B947" t="s">
        <v>8</v>
      </c>
      <c r="C947">
        <v>382.57388450000002</v>
      </c>
      <c r="D947" s="1">
        <v>44904</v>
      </c>
    </row>
    <row r="948" spans="1:4" x14ac:dyDescent="0.25">
      <c r="A948">
        <v>28</v>
      </c>
      <c r="B948" t="s">
        <v>7</v>
      </c>
      <c r="C948">
        <v>440.39146340000002</v>
      </c>
      <c r="D948" s="1">
        <v>44615</v>
      </c>
    </row>
    <row r="949" spans="1:4" x14ac:dyDescent="0.25">
      <c r="A949">
        <v>29</v>
      </c>
      <c r="B949" t="s">
        <v>10</v>
      </c>
      <c r="C949">
        <v>291.07127350000002</v>
      </c>
      <c r="D949" s="1">
        <v>44742</v>
      </c>
    </row>
    <row r="950" spans="1:4" x14ac:dyDescent="0.25">
      <c r="A950">
        <v>77</v>
      </c>
      <c r="B950" t="s">
        <v>7</v>
      </c>
      <c r="C950">
        <v>486.71730530000002</v>
      </c>
      <c r="D950" s="1">
        <v>44834</v>
      </c>
    </row>
    <row r="951" spans="1:4" x14ac:dyDescent="0.25">
      <c r="A951">
        <v>44</v>
      </c>
      <c r="B951" t="s">
        <v>12</v>
      </c>
      <c r="C951">
        <v>374.5848029</v>
      </c>
      <c r="D951" s="1">
        <v>44693</v>
      </c>
    </row>
    <row r="952" spans="1:4" x14ac:dyDescent="0.25">
      <c r="A952">
        <v>54</v>
      </c>
      <c r="B952" t="s">
        <v>12</v>
      </c>
      <c r="C952">
        <v>410.21292970000002</v>
      </c>
      <c r="D952" s="1">
        <v>44749</v>
      </c>
    </row>
    <row r="953" spans="1:4" x14ac:dyDescent="0.25">
      <c r="A953">
        <v>85</v>
      </c>
      <c r="B953" t="s">
        <v>7</v>
      </c>
      <c r="C953">
        <v>654.49312669999995</v>
      </c>
      <c r="D953" s="1">
        <v>44643</v>
      </c>
    </row>
    <row r="954" spans="1:4" x14ac:dyDescent="0.25">
      <c r="A954">
        <v>25</v>
      </c>
      <c r="B954" t="s">
        <v>10</v>
      </c>
      <c r="C954">
        <v>585.05222479999998</v>
      </c>
      <c r="D954" s="1">
        <v>44703</v>
      </c>
    </row>
    <row r="955" spans="1:4" x14ac:dyDescent="0.25">
      <c r="A955">
        <v>29</v>
      </c>
      <c r="B955" t="s">
        <v>6</v>
      </c>
      <c r="C955">
        <v>377.27278089999999</v>
      </c>
      <c r="D955" s="1">
        <v>44893</v>
      </c>
    </row>
    <row r="956" spans="1:4" x14ac:dyDescent="0.25">
      <c r="A956">
        <v>20</v>
      </c>
      <c r="B956" t="s">
        <v>5</v>
      </c>
      <c r="C956">
        <v>482.9505911</v>
      </c>
      <c r="D956" s="1">
        <v>44867</v>
      </c>
    </row>
    <row r="957" spans="1:4" x14ac:dyDescent="0.25">
      <c r="A957">
        <v>93</v>
      </c>
      <c r="B957" t="s">
        <v>10</v>
      </c>
      <c r="C957">
        <v>586.4305435</v>
      </c>
      <c r="D957" s="1">
        <v>44818</v>
      </c>
    </row>
    <row r="958" spans="1:4" x14ac:dyDescent="0.25">
      <c r="A958">
        <v>13</v>
      </c>
      <c r="B958" t="s">
        <v>13</v>
      </c>
      <c r="C958">
        <v>509.71252879999997</v>
      </c>
      <c r="D958" s="1">
        <v>44680</v>
      </c>
    </row>
    <row r="959" spans="1:4" x14ac:dyDescent="0.25">
      <c r="A959">
        <v>77</v>
      </c>
      <c r="B959" t="s">
        <v>13</v>
      </c>
      <c r="C959">
        <v>356.86693730000002</v>
      </c>
      <c r="D959" s="1">
        <v>44608</v>
      </c>
    </row>
    <row r="960" spans="1:4" x14ac:dyDescent="0.25">
      <c r="A960">
        <v>35</v>
      </c>
      <c r="B960" t="s">
        <v>7</v>
      </c>
      <c r="C960">
        <v>514.54599870000004</v>
      </c>
      <c r="D960" s="1">
        <v>44666</v>
      </c>
    </row>
    <row r="961" spans="1:4" x14ac:dyDescent="0.25">
      <c r="A961">
        <v>55</v>
      </c>
      <c r="B961" t="s">
        <v>10</v>
      </c>
      <c r="C961">
        <v>436.6144362</v>
      </c>
      <c r="D961" s="1">
        <v>44600</v>
      </c>
    </row>
    <row r="962" spans="1:4" x14ac:dyDescent="0.25">
      <c r="A962">
        <v>5</v>
      </c>
      <c r="B962" t="s">
        <v>7</v>
      </c>
      <c r="C962">
        <v>397.62784590000001</v>
      </c>
      <c r="D962" s="1">
        <v>44866</v>
      </c>
    </row>
    <row r="963" spans="1:4" x14ac:dyDescent="0.25">
      <c r="A963">
        <v>56</v>
      </c>
      <c r="B963" t="s">
        <v>4</v>
      </c>
      <c r="C963">
        <v>343.29308730000002</v>
      </c>
      <c r="D963" s="1">
        <v>44624</v>
      </c>
    </row>
    <row r="964" spans="1:4" x14ac:dyDescent="0.25">
      <c r="A964">
        <v>77</v>
      </c>
      <c r="B964" t="s">
        <v>9</v>
      </c>
      <c r="C964">
        <v>563.10629040000003</v>
      </c>
      <c r="D964" s="1">
        <v>44688</v>
      </c>
    </row>
    <row r="965" spans="1:4" x14ac:dyDescent="0.25">
      <c r="A965">
        <v>87</v>
      </c>
      <c r="B965" t="s">
        <v>6</v>
      </c>
      <c r="C965">
        <v>553.94827199999997</v>
      </c>
      <c r="D965" s="1">
        <v>44824</v>
      </c>
    </row>
    <row r="966" spans="1:4" x14ac:dyDescent="0.25">
      <c r="A966">
        <v>92</v>
      </c>
      <c r="B966" t="s">
        <v>10</v>
      </c>
      <c r="C966">
        <v>521.15169990000004</v>
      </c>
      <c r="D966" s="1">
        <v>44612</v>
      </c>
    </row>
    <row r="967" spans="1:4" x14ac:dyDescent="0.25">
      <c r="A967">
        <v>44</v>
      </c>
      <c r="B967" t="s">
        <v>9</v>
      </c>
      <c r="C967">
        <v>408.47265709999999</v>
      </c>
      <c r="D967" s="1">
        <v>44609</v>
      </c>
    </row>
    <row r="968" spans="1:4" x14ac:dyDescent="0.25">
      <c r="A968">
        <v>72</v>
      </c>
      <c r="B968" t="s">
        <v>11</v>
      </c>
      <c r="C968">
        <v>526.32939209999995</v>
      </c>
      <c r="D968" s="1">
        <v>44850</v>
      </c>
    </row>
    <row r="969" spans="1:4" x14ac:dyDescent="0.25">
      <c r="A969">
        <v>38</v>
      </c>
      <c r="B969" t="s">
        <v>11</v>
      </c>
      <c r="C969">
        <v>534.80226760000005</v>
      </c>
      <c r="D969" s="1">
        <v>44867</v>
      </c>
    </row>
    <row r="970" spans="1:4" x14ac:dyDescent="0.25">
      <c r="A970">
        <v>24</v>
      </c>
      <c r="B970" t="s">
        <v>12</v>
      </c>
      <c r="C970">
        <v>506.48034769999998</v>
      </c>
      <c r="D970" s="1">
        <v>44643</v>
      </c>
    </row>
    <row r="971" spans="1:4" x14ac:dyDescent="0.25">
      <c r="A971">
        <v>80</v>
      </c>
      <c r="B971" t="s">
        <v>6</v>
      </c>
      <c r="C971">
        <v>565.27591199999995</v>
      </c>
      <c r="D971" s="1">
        <v>44887</v>
      </c>
    </row>
    <row r="972" spans="1:4" x14ac:dyDescent="0.25">
      <c r="A972">
        <v>75</v>
      </c>
      <c r="B972" t="s">
        <v>6</v>
      </c>
      <c r="C972">
        <v>390.30739720000003</v>
      </c>
      <c r="D972" s="1">
        <v>44662</v>
      </c>
    </row>
    <row r="973" spans="1:4" x14ac:dyDescent="0.25">
      <c r="A973">
        <v>87</v>
      </c>
      <c r="B973" t="s">
        <v>7</v>
      </c>
      <c r="C973">
        <v>381.62888270000002</v>
      </c>
      <c r="D973" s="1">
        <v>44680</v>
      </c>
    </row>
    <row r="974" spans="1:4" x14ac:dyDescent="0.25">
      <c r="A974">
        <v>94</v>
      </c>
      <c r="B974" t="s">
        <v>8</v>
      </c>
      <c r="C974">
        <v>538.7421779</v>
      </c>
      <c r="D974" s="1">
        <v>44680</v>
      </c>
    </row>
    <row r="975" spans="1:4" x14ac:dyDescent="0.25">
      <c r="A975">
        <v>96</v>
      </c>
      <c r="B975" t="s">
        <v>6</v>
      </c>
      <c r="C975">
        <v>486.7261522</v>
      </c>
      <c r="D975" s="1">
        <v>44710</v>
      </c>
    </row>
    <row r="976" spans="1:4" x14ac:dyDescent="0.25">
      <c r="A976">
        <v>91</v>
      </c>
      <c r="B976" t="s">
        <v>9</v>
      </c>
      <c r="C976">
        <v>599.66080529999999</v>
      </c>
      <c r="D976" s="1">
        <v>44899</v>
      </c>
    </row>
    <row r="977" spans="1:4" x14ac:dyDescent="0.25">
      <c r="A977">
        <v>48</v>
      </c>
      <c r="B977" t="s">
        <v>10</v>
      </c>
      <c r="C977">
        <v>293.48576430000003</v>
      </c>
      <c r="D977" s="1">
        <v>44774</v>
      </c>
    </row>
    <row r="978" spans="1:4" x14ac:dyDescent="0.25">
      <c r="A978">
        <v>15</v>
      </c>
      <c r="B978" t="s">
        <v>7</v>
      </c>
      <c r="C978">
        <v>582.87838409999995</v>
      </c>
      <c r="D978" s="1">
        <v>44685</v>
      </c>
    </row>
    <row r="979" spans="1:4" x14ac:dyDescent="0.25">
      <c r="A979">
        <v>65</v>
      </c>
      <c r="B979" t="s">
        <v>6</v>
      </c>
      <c r="C979">
        <v>431.47721619999999</v>
      </c>
      <c r="D979" s="1">
        <v>44621</v>
      </c>
    </row>
    <row r="980" spans="1:4" x14ac:dyDescent="0.25">
      <c r="A980">
        <v>54</v>
      </c>
      <c r="B980" t="s">
        <v>4</v>
      </c>
      <c r="C980">
        <v>445.29621320000001</v>
      </c>
      <c r="D980" s="1">
        <v>44607</v>
      </c>
    </row>
    <row r="981" spans="1:4" x14ac:dyDescent="0.25">
      <c r="A981">
        <v>10</v>
      </c>
      <c r="B981" t="s">
        <v>9</v>
      </c>
      <c r="C981">
        <v>552.1799393</v>
      </c>
      <c r="D981" s="1">
        <v>44746</v>
      </c>
    </row>
    <row r="982" spans="1:4" x14ac:dyDescent="0.25">
      <c r="A982">
        <v>86</v>
      </c>
      <c r="B982" t="s">
        <v>6</v>
      </c>
      <c r="C982">
        <v>279.22810479999998</v>
      </c>
      <c r="D982" s="1">
        <v>44639</v>
      </c>
    </row>
    <row r="983" spans="1:4" x14ac:dyDescent="0.25">
      <c r="A983">
        <v>42</v>
      </c>
      <c r="B983" t="s">
        <v>7</v>
      </c>
      <c r="C983">
        <v>488.41026040000003</v>
      </c>
      <c r="D983" s="1">
        <v>44620</v>
      </c>
    </row>
    <row r="984" spans="1:4" x14ac:dyDescent="0.25">
      <c r="A984">
        <v>100</v>
      </c>
      <c r="B984" t="s">
        <v>9</v>
      </c>
      <c r="C984">
        <v>434.80021210000001</v>
      </c>
      <c r="D984" s="1">
        <v>44875</v>
      </c>
    </row>
    <row r="985" spans="1:4" x14ac:dyDescent="0.25">
      <c r="A985">
        <v>41</v>
      </c>
      <c r="B985" t="s">
        <v>10</v>
      </c>
      <c r="C985">
        <v>479.03698730000002</v>
      </c>
      <c r="D985" s="1">
        <v>44709</v>
      </c>
    </row>
    <row r="986" spans="1:4" x14ac:dyDescent="0.25">
      <c r="A986">
        <v>25</v>
      </c>
      <c r="B986" t="s">
        <v>4</v>
      </c>
      <c r="C986">
        <v>505.69093420000002</v>
      </c>
      <c r="D986" s="1">
        <v>44651</v>
      </c>
    </row>
    <row r="987" spans="1:4" x14ac:dyDescent="0.25">
      <c r="A987">
        <v>94</v>
      </c>
      <c r="B987" t="s">
        <v>13</v>
      </c>
      <c r="C987">
        <v>504.17070580000001</v>
      </c>
      <c r="D987" s="1">
        <v>44579</v>
      </c>
    </row>
    <row r="988" spans="1:4" x14ac:dyDescent="0.25">
      <c r="A988">
        <v>52</v>
      </c>
      <c r="B988" t="s">
        <v>6</v>
      </c>
      <c r="C988">
        <v>446.18633549999998</v>
      </c>
      <c r="D988" s="1">
        <v>44791</v>
      </c>
    </row>
    <row r="989" spans="1:4" x14ac:dyDescent="0.25">
      <c r="A989">
        <v>37</v>
      </c>
      <c r="B989" t="s">
        <v>6</v>
      </c>
      <c r="C989">
        <v>338.52050750000001</v>
      </c>
      <c r="D989" s="1">
        <v>44804</v>
      </c>
    </row>
    <row r="990" spans="1:4" x14ac:dyDescent="0.25">
      <c r="A990">
        <v>27</v>
      </c>
      <c r="B990" t="s">
        <v>7</v>
      </c>
      <c r="C990">
        <v>672.96690430000001</v>
      </c>
      <c r="D990" s="1">
        <v>44861</v>
      </c>
    </row>
    <row r="991" spans="1:4" x14ac:dyDescent="0.25">
      <c r="A991">
        <v>73</v>
      </c>
      <c r="B991" t="s">
        <v>5</v>
      </c>
      <c r="C991">
        <v>445.2181453</v>
      </c>
      <c r="D991" s="1">
        <v>44839</v>
      </c>
    </row>
    <row r="992" spans="1:4" x14ac:dyDescent="0.25">
      <c r="A992">
        <v>83</v>
      </c>
      <c r="B992" t="s">
        <v>12</v>
      </c>
      <c r="C992">
        <v>449.78093669999998</v>
      </c>
      <c r="D992" s="1">
        <v>44880</v>
      </c>
    </row>
    <row r="993" spans="1:4" x14ac:dyDescent="0.25">
      <c r="A993">
        <v>35</v>
      </c>
      <c r="B993" t="s">
        <v>12</v>
      </c>
      <c r="C993">
        <v>529.13644939999995</v>
      </c>
      <c r="D993" s="1">
        <v>44626</v>
      </c>
    </row>
    <row r="994" spans="1:4" x14ac:dyDescent="0.25">
      <c r="A994">
        <v>34</v>
      </c>
      <c r="B994" t="s">
        <v>10</v>
      </c>
      <c r="C994">
        <v>376.31756180000002</v>
      </c>
      <c r="D994" s="1">
        <v>44626</v>
      </c>
    </row>
    <row r="995" spans="1:4" x14ac:dyDescent="0.25">
      <c r="A995">
        <v>63</v>
      </c>
      <c r="B995" t="s">
        <v>10</v>
      </c>
      <c r="C995">
        <v>333.11037040000002</v>
      </c>
      <c r="D995" s="1">
        <v>44821</v>
      </c>
    </row>
    <row r="996" spans="1:4" x14ac:dyDescent="0.25">
      <c r="A996">
        <v>87</v>
      </c>
      <c r="B996" t="s">
        <v>8</v>
      </c>
      <c r="C996">
        <v>669.11241900000005</v>
      </c>
      <c r="D996" s="1">
        <v>44828</v>
      </c>
    </row>
    <row r="997" spans="1:4" x14ac:dyDescent="0.25">
      <c r="A997">
        <v>76</v>
      </c>
      <c r="B997" t="s">
        <v>7</v>
      </c>
      <c r="C997">
        <v>634.29923140000005</v>
      </c>
      <c r="D997" s="1">
        <v>44875</v>
      </c>
    </row>
    <row r="998" spans="1:4" x14ac:dyDescent="0.25">
      <c r="A998">
        <v>79</v>
      </c>
      <c r="B998" t="s">
        <v>5</v>
      </c>
      <c r="C998">
        <v>466.60954959999998</v>
      </c>
      <c r="D998" s="1">
        <v>44830</v>
      </c>
    </row>
    <row r="999" spans="1:4" x14ac:dyDescent="0.25">
      <c r="A999">
        <v>49</v>
      </c>
      <c r="B999" t="s">
        <v>6</v>
      </c>
      <c r="C999">
        <v>656.1333922</v>
      </c>
      <c r="D999" s="1">
        <v>44595</v>
      </c>
    </row>
    <row r="1000" spans="1:4" x14ac:dyDescent="0.25">
      <c r="A1000">
        <v>35</v>
      </c>
      <c r="B1000" t="s">
        <v>8</v>
      </c>
      <c r="C1000">
        <v>479.0334178</v>
      </c>
      <c r="D1000" s="1">
        <v>44737</v>
      </c>
    </row>
    <row r="1001" spans="1:4" x14ac:dyDescent="0.25">
      <c r="A1001">
        <v>29</v>
      </c>
      <c r="B1001" t="s">
        <v>9</v>
      </c>
      <c r="C1001">
        <v>566.53467160000002</v>
      </c>
      <c r="D1001" s="1">
        <v>44592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B10D-2257-4CAF-81BF-0E69F3542518}">
  <dimension ref="A1:F1048576"/>
  <sheetViews>
    <sheetView zoomScale="80" zoomScaleNormal="80" workbookViewId="0">
      <selection activeCell="F38" sqref="F38"/>
    </sheetView>
  </sheetViews>
  <sheetFormatPr defaultRowHeight="18.75" thickTop="1" thickBottom="1" x14ac:dyDescent="0.35"/>
  <cols>
    <col min="1" max="1" width="16.42578125" style="4" customWidth="1"/>
    <col min="2" max="2" width="8.5703125" style="4" customWidth="1"/>
    <col min="3" max="3" width="11.7109375" style="4" bestFit="1" customWidth="1"/>
    <col min="4" max="4" width="18.7109375" style="4" customWidth="1"/>
    <col min="5" max="5" width="13" style="4" customWidth="1"/>
    <col min="6" max="6" width="22.7109375" style="4" customWidth="1"/>
  </cols>
  <sheetData>
    <row r="1" spans="1:6" ht="20.25" thickBot="1" x14ac:dyDescent="0.35">
      <c r="A1" s="6" t="s">
        <v>19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</row>
    <row r="2" spans="1:6" thickTop="1" thickBot="1" x14ac:dyDescent="0.35">
      <c r="A2" s="5">
        <f>Raw_Data!D2</f>
        <v>44721</v>
      </c>
      <c r="B2" s="4">
        <f>YEAR(A2)</f>
        <v>2022</v>
      </c>
      <c r="C2" s="4" t="str">
        <f>TEXT(A2,"mmmm")</f>
        <v>June</v>
      </c>
      <c r="D2" s="4">
        <f>Raw_Data!A2</f>
        <v>31</v>
      </c>
      <c r="E2" s="4" t="str">
        <f>Raw_Data!B2</f>
        <v>g</v>
      </c>
      <c r="F2" s="4">
        <f>Raw_Data!C2</f>
        <v>449.16759339999999</v>
      </c>
    </row>
    <row r="3" spans="1:6" thickTop="1" thickBot="1" x14ac:dyDescent="0.35">
      <c r="A3" s="5">
        <f>Raw_Data!D3</f>
        <v>44898</v>
      </c>
      <c r="B3" s="4">
        <f>YEAR(A3)</f>
        <v>2022</v>
      </c>
      <c r="C3" s="4" t="str">
        <f>TEXT(A3,"mmmm")</f>
        <v>December</v>
      </c>
      <c r="D3" s="4">
        <f>Raw_Data!A3</f>
        <v>79</v>
      </c>
      <c r="E3" s="4" t="str">
        <f>Raw_Data!B3</f>
        <v>b</v>
      </c>
      <c r="F3" s="4">
        <f>Raw_Data!C3</f>
        <v>533.14015159999997</v>
      </c>
    </row>
    <row r="4" spans="1:6" thickTop="1" thickBot="1" x14ac:dyDescent="0.35">
      <c r="A4" s="5">
        <f>Raw_Data!D4</f>
        <v>44800</v>
      </c>
      <c r="B4" s="4">
        <f>YEAR(A4)</f>
        <v>2022</v>
      </c>
      <c r="C4" s="4" t="str">
        <f>TEXT(A4,"mmmm")</f>
        <v>August</v>
      </c>
      <c r="D4" s="4">
        <f>Raw_Data!A4</f>
        <v>51</v>
      </c>
      <c r="E4" s="4" t="str">
        <f>Raw_Data!B4</f>
        <v>i</v>
      </c>
      <c r="F4" s="4">
        <f>Raw_Data!C4</f>
        <v>557.43777320000004</v>
      </c>
    </row>
    <row r="5" spans="1:6" thickTop="1" thickBot="1" x14ac:dyDescent="0.35">
      <c r="A5" s="5">
        <f>Raw_Data!D5</f>
        <v>44774</v>
      </c>
      <c r="B5" s="4">
        <f>YEAR(A5)</f>
        <v>2022</v>
      </c>
      <c r="C5" s="4" t="str">
        <f>TEXT(A5,"mmmm")</f>
        <v>August</v>
      </c>
      <c r="D5" s="4">
        <f>Raw_Data!A5</f>
        <v>14</v>
      </c>
      <c r="E5" s="4" t="str">
        <f>Raw_Data!B5</f>
        <v>e</v>
      </c>
      <c r="F5" s="4">
        <f>Raw_Data!C5</f>
        <v>553.33143310000003</v>
      </c>
    </row>
    <row r="6" spans="1:6" thickTop="1" thickBot="1" x14ac:dyDescent="0.35">
      <c r="A6" s="5">
        <f>Raw_Data!D6</f>
        <v>44840</v>
      </c>
      <c r="B6" s="4">
        <f>YEAR(A6)</f>
        <v>2022</v>
      </c>
      <c r="C6" s="4" t="str">
        <f>TEXT(A6,"mmmm")</f>
        <v>October</v>
      </c>
      <c r="D6" s="4">
        <f>Raw_Data!A6</f>
        <v>67</v>
      </c>
      <c r="E6" s="4" t="str">
        <f>Raw_Data!B6</f>
        <v>a</v>
      </c>
      <c r="F6" s="4">
        <f>Raw_Data!C6</f>
        <v>524.83759220000002</v>
      </c>
    </row>
    <row r="7" spans="1:6" thickTop="1" thickBot="1" x14ac:dyDescent="0.35">
      <c r="A7" s="5">
        <f>Raw_Data!D7</f>
        <v>44925</v>
      </c>
      <c r="B7" s="4">
        <f>YEAR(A7)</f>
        <v>2022</v>
      </c>
      <c r="C7" s="4" t="str">
        <f>TEXT(A7,"mmmm")</f>
        <v>December</v>
      </c>
      <c r="D7" s="4">
        <f>Raw_Data!A7</f>
        <v>42</v>
      </c>
      <c r="E7" s="4" t="str">
        <f>Raw_Data!B7</f>
        <v>j</v>
      </c>
      <c r="F7" s="4">
        <f>Raw_Data!C7</f>
        <v>428.19912090000003</v>
      </c>
    </row>
    <row r="8" spans="1:6" thickTop="1" thickBot="1" x14ac:dyDescent="0.35">
      <c r="A8" s="5">
        <f>Raw_Data!D8</f>
        <v>44622</v>
      </c>
      <c r="B8" s="4">
        <f>YEAR(A8)</f>
        <v>2022</v>
      </c>
      <c r="C8" s="4" t="str">
        <f>TEXT(A8,"mmmm")</f>
        <v>March</v>
      </c>
      <c r="D8" s="4">
        <f>Raw_Data!A8</f>
        <v>50</v>
      </c>
      <c r="E8" s="4" t="str">
        <f>Raw_Data!B8</f>
        <v>i</v>
      </c>
      <c r="F8" s="4">
        <f>Raw_Data!C8</f>
        <v>367.29077230000001</v>
      </c>
    </row>
    <row r="9" spans="1:6" thickTop="1" thickBot="1" x14ac:dyDescent="0.35">
      <c r="A9" s="5">
        <f>Raw_Data!D9</f>
        <v>44883</v>
      </c>
      <c r="B9" s="4">
        <f>YEAR(A9)</f>
        <v>2022</v>
      </c>
      <c r="C9" s="4" t="str">
        <f>TEXT(A9,"mmmm")</f>
        <v>November</v>
      </c>
      <c r="D9" s="4">
        <f>Raw_Data!A9</f>
        <v>43</v>
      </c>
      <c r="E9" s="4" t="str">
        <f>Raw_Data!B9</f>
        <v>i</v>
      </c>
      <c r="F9" s="4">
        <f>Raw_Data!C9</f>
        <v>659.5332737</v>
      </c>
    </row>
    <row r="10" spans="1:6" thickTop="1" thickBot="1" x14ac:dyDescent="0.35">
      <c r="A10" s="5">
        <f>Raw_Data!D10</f>
        <v>44813</v>
      </c>
      <c r="B10" s="4">
        <f>YEAR(A10)</f>
        <v>2022</v>
      </c>
      <c r="C10" s="4" t="str">
        <f>TEXT(A10,"mmmm")</f>
        <v>September</v>
      </c>
      <c r="D10" s="4">
        <f>Raw_Data!A10</f>
        <v>14</v>
      </c>
      <c r="E10" s="4" t="str">
        <f>Raw_Data!B10</f>
        <v>g</v>
      </c>
      <c r="F10" s="4">
        <f>Raw_Data!C10</f>
        <v>543.27879270000005</v>
      </c>
    </row>
    <row r="11" spans="1:6" thickTop="1" thickBot="1" x14ac:dyDescent="0.35">
      <c r="A11" s="5">
        <f>Raw_Data!D11</f>
        <v>44852</v>
      </c>
      <c r="B11" s="4">
        <f>YEAR(A11)</f>
        <v>2022</v>
      </c>
      <c r="C11" s="4" t="str">
        <f>TEXT(A11,"mmmm")</f>
        <v>October</v>
      </c>
      <c r="D11" s="4">
        <f>Raw_Data!A11</f>
        <v>25</v>
      </c>
      <c r="E11" s="4" t="str">
        <f>Raw_Data!B11</f>
        <v>b</v>
      </c>
      <c r="F11" s="4">
        <f>Raw_Data!C11</f>
        <v>391.05008709999998</v>
      </c>
    </row>
    <row r="12" spans="1:6" thickTop="1" thickBot="1" x14ac:dyDescent="0.35">
      <c r="A12" s="5">
        <f>Raw_Data!D12</f>
        <v>44924</v>
      </c>
      <c r="B12" s="4">
        <f>YEAR(A12)</f>
        <v>2022</v>
      </c>
      <c r="C12" s="4" t="str">
        <f>TEXT(A12,"mmmm")</f>
        <v>December</v>
      </c>
      <c r="D12" s="4">
        <f>Raw_Data!A12</f>
        <v>90</v>
      </c>
      <c r="E12" s="4" t="str">
        <f>Raw_Data!B12</f>
        <v>h</v>
      </c>
      <c r="F12" s="4">
        <f>Raw_Data!C12</f>
        <v>368.20144640000001</v>
      </c>
    </row>
    <row r="13" spans="1:6" thickTop="1" thickBot="1" x14ac:dyDescent="0.35">
      <c r="A13" s="5">
        <f>Raw_Data!D13</f>
        <v>44722</v>
      </c>
      <c r="B13" s="4">
        <f>YEAR(A13)</f>
        <v>2022</v>
      </c>
      <c r="C13" s="4" t="str">
        <f>TEXT(A13,"mmmm")</f>
        <v>June</v>
      </c>
      <c r="D13" s="4">
        <f>Raw_Data!A13</f>
        <v>91</v>
      </c>
      <c r="E13" s="4" t="str">
        <f>Raw_Data!B13</f>
        <v>g</v>
      </c>
      <c r="F13" s="4">
        <f>Raw_Data!C13</f>
        <v>465.84051540000002</v>
      </c>
    </row>
    <row r="14" spans="1:6" thickTop="1" thickBot="1" x14ac:dyDescent="0.35">
      <c r="A14" s="5">
        <f>Raw_Data!D14</f>
        <v>44772</v>
      </c>
      <c r="B14" s="4">
        <f>YEAR(A14)</f>
        <v>2022</v>
      </c>
      <c r="C14" s="4" t="str">
        <f>TEXT(A14,"mmmm")</f>
        <v>July</v>
      </c>
      <c r="D14" s="4">
        <f>Raw_Data!A14</f>
        <v>69</v>
      </c>
      <c r="E14" s="4" t="str">
        <f>Raw_Data!B14</f>
        <v>f</v>
      </c>
      <c r="F14" s="4">
        <f>Raw_Data!C14</f>
        <v>470.24447359999999</v>
      </c>
    </row>
    <row r="15" spans="1:6" thickTop="1" thickBot="1" x14ac:dyDescent="0.35">
      <c r="A15" s="5">
        <f>Raw_Data!D15</f>
        <v>44619</v>
      </c>
      <c r="B15" s="4">
        <f>YEAR(A15)</f>
        <v>2022</v>
      </c>
      <c r="C15" s="4" t="str">
        <f>TEXT(A15,"mmmm")</f>
        <v>February</v>
      </c>
      <c r="D15" s="4">
        <f>Raw_Data!A15</f>
        <v>91</v>
      </c>
      <c r="E15" s="4" t="str">
        <f>Raw_Data!B15</f>
        <v>g</v>
      </c>
      <c r="F15" s="4">
        <f>Raw_Data!C15</f>
        <v>508.8512642</v>
      </c>
    </row>
    <row r="16" spans="1:6" thickTop="1" thickBot="1" x14ac:dyDescent="0.35">
      <c r="A16" s="5">
        <f>Raw_Data!D16</f>
        <v>44914</v>
      </c>
      <c r="B16" s="4">
        <f>YEAR(A16)</f>
        <v>2022</v>
      </c>
      <c r="C16" s="4" t="str">
        <f>TEXT(A16,"mmmm")</f>
        <v>December</v>
      </c>
      <c r="D16" s="4">
        <f>Raw_Data!A16</f>
        <v>57</v>
      </c>
      <c r="E16" s="4" t="str">
        <f>Raw_Data!B16</f>
        <v>j</v>
      </c>
      <c r="F16" s="4">
        <f>Raw_Data!C16</f>
        <v>609.06446100000005</v>
      </c>
    </row>
    <row r="17" spans="1:6" thickTop="1" thickBot="1" x14ac:dyDescent="0.35">
      <c r="A17" s="5">
        <f>Raw_Data!D17</f>
        <v>44624</v>
      </c>
      <c r="B17" s="4">
        <f>YEAR(A17)</f>
        <v>2022</v>
      </c>
      <c r="C17" s="4" t="str">
        <f>TEXT(A17,"mmmm")</f>
        <v>March</v>
      </c>
      <c r="D17" s="4">
        <f>Raw_Data!A17</f>
        <v>92</v>
      </c>
      <c r="E17" s="4" t="str">
        <f>Raw_Data!B17</f>
        <v>b</v>
      </c>
      <c r="F17" s="4">
        <f>Raw_Data!C17</f>
        <v>347.35469289999997</v>
      </c>
    </row>
    <row r="18" spans="1:6" thickTop="1" thickBot="1" x14ac:dyDescent="0.35">
      <c r="A18" s="5">
        <f>Raw_Data!D18</f>
        <v>44693</v>
      </c>
      <c r="B18" s="4">
        <f>YEAR(A18)</f>
        <v>2022</v>
      </c>
      <c r="C18" s="4" t="str">
        <f>TEXT(A18,"mmmm")</f>
        <v>May</v>
      </c>
      <c r="D18" s="4">
        <f>Raw_Data!A18</f>
        <v>9</v>
      </c>
      <c r="E18" s="4" t="str">
        <f>Raw_Data!B18</f>
        <v>b</v>
      </c>
      <c r="F18" s="4">
        <f>Raw_Data!C18</f>
        <v>651.92899199999999</v>
      </c>
    </row>
    <row r="19" spans="1:6" thickTop="1" thickBot="1" x14ac:dyDescent="0.35">
      <c r="A19" s="5">
        <f>Raw_Data!D19</f>
        <v>44712</v>
      </c>
      <c r="B19" s="4">
        <f>YEAR(A19)</f>
        <v>2022</v>
      </c>
      <c r="C19" s="4" t="str">
        <f>TEXT(A19,"mmmm")</f>
        <v>May</v>
      </c>
      <c r="D19" s="4">
        <f>Raw_Data!A19</f>
        <v>93</v>
      </c>
      <c r="E19" s="4" t="str">
        <f>Raw_Data!B19</f>
        <v>e</v>
      </c>
      <c r="F19" s="4">
        <f>Raw_Data!C19</f>
        <v>545.20854199999997</v>
      </c>
    </row>
    <row r="20" spans="1:6" thickTop="1" thickBot="1" x14ac:dyDescent="0.35">
      <c r="A20" s="5">
        <f>Raw_Data!D20</f>
        <v>44819</v>
      </c>
      <c r="B20" s="4">
        <f>YEAR(A20)</f>
        <v>2022</v>
      </c>
      <c r="C20" s="4" t="str">
        <f>TEXT(A20,"mmmm")</f>
        <v>September</v>
      </c>
      <c r="D20" s="4">
        <f>Raw_Data!A20</f>
        <v>99</v>
      </c>
      <c r="E20" s="4" t="str">
        <f>Raw_Data!B20</f>
        <v>g</v>
      </c>
      <c r="F20" s="4">
        <f>Raw_Data!C20</f>
        <v>492.07605589999997</v>
      </c>
    </row>
    <row r="21" spans="1:6" thickTop="1" thickBot="1" x14ac:dyDescent="0.35">
      <c r="A21" s="5">
        <f>Raw_Data!D21</f>
        <v>44859</v>
      </c>
      <c r="B21" s="4">
        <f>YEAR(A21)</f>
        <v>2022</v>
      </c>
      <c r="C21" s="4" t="str">
        <f>TEXT(A21,"mmmm")</f>
        <v>October</v>
      </c>
      <c r="D21" s="4">
        <f>Raw_Data!A21</f>
        <v>72</v>
      </c>
      <c r="E21" s="4" t="str">
        <f>Raw_Data!B21</f>
        <v>j</v>
      </c>
      <c r="F21" s="4">
        <f>Raw_Data!C21</f>
        <v>530.55692850000003</v>
      </c>
    </row>
    <row r="22" spans="1:6" thickTop="1" thickBot="1" x14ac:dyDescent="0.35">
      <c r="A22" s="5">
        <f>Raw_Data!D22</f>
        <v>44657</v>
      </c>
      <c r="B22" s="4">
        <f>YEAR(A22)</f>
        <v>2022</v>
      </c>
      <c r="C22" s="4" t="str">
        <f>TEXT(A22,"mmmm")</f>
        <v>April</v>
      </c>
      <c r="D22" s="4">
        <f>Raw_Data!A22</f>
        <v>26</v>
      </c>
      <c r="E22" s="4" t="str">
        <f>Raw_Data!B22</f>
        <v>i</v>
      </c>
      <c r="F22" s="4">
        <f>Raw_Data!C22</f>
        <v>414.35308220000002</v>
      </c>
    </row>
    <row r="23" spans="1:6" thickTop="1" thickBot="1" x14ac:dyDescent="0.35">
      <c r="A23" s="5">
        <f>Raw_Data!D23</f>
        <v>44818</v>
      </c>
      <c r="B23" s="4">
        <f>YEAR(A23)</f>
        <v>2022</v>
      </c>
      <c r="C23" s="4" t="str">
        <f>TEXT(A23,"mmmm")</f>
        <v>September</v>
      </c>
      <c r="D23" s="4">
        <f>Raw_Data!A23</f>
        <v>7</v>
      </c>
      <c r="E23" s="4" t="str">
        <f>Raw_Data!B23</f>
        <v>g</v>
      </c>
      <c r="F23" s="4">
        <f>Raw_Data!C23</f>
        <v>610.39246449999996</v>
      </c>
    </row>
    <row r="24" spans="1:6" thickTop="1" thickBot="1" x14ac:dyDescent="0.35">
      <c r="A24" s="5">
        <f>Raw_Data!D24</f>
        <v>44785</v>
      </c>
      <c r="B24" s="4">
        <f>YEAR(A24)</f>
        <v>2022</v>
      </c>
      <c r="C24" s="4" t="str">
        <f>TEXT(A24,"mmmm")</f>
        <v>August</v>
      </c>
      <c r="D24" s="4">
        <f>Raw_Data!A24</f>
        <v>42</v>
      </c>
      <c r="E24" s="4" t="str">
        <f>Raw_Data!B24</f>
        <v>f</v>
      </c>
      <c r="F24" s="4">
        <f>Raw_Data!C24</f>
        <v>578.01726529999996</v>
      </c>
    </row>
    <row r="25" spans="1:6" thickTop="1" thickBot="1" x14ac:dyDescent="0.35">
      <c r="A25" s="5">
        <f>Raw_Data!D25</f>
        <v>44622</v>
      </c>
      <c r="B25" s="4">
        <f>YEAR(A25)</f>
        <v>2022</v>
      </c>
      <c r="C25" s="4" t="str">
        <f>TEXT(A25,"mmmm")</f>
        <v>March</v>
      </c>
      <c r="D25" s="4">
        <f>Raw_Data!A25</f>
        <v>9</v>
      </c>
      <c r="E25" s="4" t="str">
        <f>Raw_Data!B25</f>
        <v>d</v>
      </c>
      <c r="F25" s="4">
        <f>Raw_Data!C25</f>
        <v>359.57478520000001</v>
      </c>
    </row>
    <row r="26" spans="1:6" thickTop="1" thickBot="1" x14ac:dyDescent="0.35">
      <c r="A26" s="5">
        <f>Raw_Data!D26</f>
        <v>44754</v>
      </c>
      <c r="B26" s="4">
        <f>YEAR(A26)</f>
        <v>2022</v>
      </c>
      <c r="C26" s="4" t="str">
        <f>TEXT(A26,"mmmm")</f>
        <v>July</v>
      </c>
      <c r="D26" s="4">
        <f>Raw_Data!A26</f>
        <v>83</v>
      </c>
      <c r="E26" s="4" t="str">
        <f>Raw_Data!B26</f>
        <v>c</v>
      </c>
      <c r="F26" s="4">
        <f>Raw_Data!C26</f>
        <v>411.84372550000001</v>
      </c>
    </row>
    <row r="27" spans="1:6" thickTop="1" thickBot="1" x14ac:dyDescent="0.35">
      <c r="A27" s="5">
        <f>Raw_Data!D27</f>
        <v>44665</v>
      </c>
      <c r="B27" s="4">
        <f>YEAR(A27)</f>
        <v>2022</v>
      </c>
      <c r="C27" s="4" t="str">
        <f>TEXT(A27,"mmmm")</f>
        <v>April</v>
      </c>
      <c r="D27" s="4">
        <f>Raw_Data!A27</f>
        <v>36</v>
      </c>
      <c r="E27" s="4" t="str">
        <f>Raw_Data!B27</f>
        <v>c</v>
      </c>
      <c r="F27" s="4">
        <f>Raw_Data!C27</f>
        <v>482.76064789999998</v>
      </c>
    </row>
    <row r="28" spans="1:6" thickTop="1" thickBot="1" x14ac:dyDescent="0.35">
      <c r="A28" s="5">
        <f>Raw_Data!D28</f>
        <v>44644</v>
      </c>
      <c r="B28" s="4">
        <f>YEAR(A28)</f>
        <v>2022</v>
      </c>
      <c r="C28" s="4" t="str">
        <f>TEXT(A28,"mmmm")</f>
        <v>March</v>
      </c>
      <c r="D28" s="4">
        <f>Raw_Data!A28</f>
        <v>78</v>
      </c>
      <c r="E28" s="4" t="str">
        <f>Raw_Data!B28</f>
        <v>j</v>
      </c>
      <c r="F28" s="4">
        <f>Raw_Data!C28</f>
        <v>411.26721680000003</v>
      </c>
    </row>
    <row r="29" spans="1:6" thickTop="1" thickBot="1" x14ac:dyDescent="0.35">
      <c r="A29" s="5">
        <f>Raw_Data!D29</f>
        <v>44601</v>
      </c>
      <c r="B29" s="4">
        <f>YEAR(A29)</f>
        <v>2022</v>
      </c>
      <c r="C29" s="4" t="str">
        <f>TEXT(A29,"mmmm")</f>
        <v>February</v>
      </c>
      <c r="D29" s="4">
        <f>Raw_Data!A29</f>
        <v>81</v>
      </c>
      <c r="E29" s="4" t="str">
        <f>Raw_Data!B29</f>
        <v>b</v>
      </c>
      <c r="F29" s="4">
        <f>Raw_Data!C29</f>
        <v>334.40645260000002</v>
      </c>
    </row>
    <row r="30" spans="1:6" thickTop="1" thickBot="1" x14ac:dyDescent="0.35">
      <c r="A30" s="5">
        <f>Raw_Data!D30</f>
        <v>44653</v>
      </c>
      <c r="B30" s="4">
        <f>YEAR(A30)</f>
        <v>2022</v>
      </c>
      <c r="C30" s="4" t="str">
        <f>TEXT(A30,"mmmm")</f>
        <v>April</v>
      </c>
      <c r="D30" s="4">
        <f>Raw_Data!A30</f>
        <v>43</v>
      </c>
      <c r="E30" s="4" t="str">
        <f>Raw_Data!B30</f>
        <v>c</v>
      </c>
      <c r="F30" s="4">
        <f>Raw_Data!C30</f>
        <v>436.21954729999999</v>
      </c>
    </row>
    <row r="31" spans="1:6" thickTop="1" thickBot="1" x14ac:dyDescent="0.35">
      <c r="A31" s="5">
        <f>Raw_Data!D31</f>
        <v>44776</v>
      </c>
      <c r="B31" s="4">
        <f>YEAR(A31)</f>
        <v>2022</v>
      </c>
      <c r="C31" s="4" t="str">
        <f>TEXT(A31,"mmmm")</f>
        <v>August</v>
      </c>
      <c r="D31" s="4">
        <f>Raw_Data!A31</f>
        <v>76</v>
      </c>
      <c r="E31" s="4" t="str">
        <f>Raw_Data!B31</f>
        <v>a</v>
      </c>
      <c r="F31" s="4">
        <f>Raw_Data!C31</f>
        <v>471.01421729999998</v>
      </c>
    </row>
    <row r="32" spans="1:6" thickTop="1" thickBot="1" x14ac:dyDescent="0.35">
      <c r="A32" s="5">
        <f>Raw_Data!D32</f>
        <v>44594</v>
      </c>
      <c r="B32" s="4">
        <f>YEAR(A32)</f>
        <v>2022</v>
      </c>
      <c r="C32" s="4" t="str">
        <f>TEXT(A32,"mmmm")</f>
        <v>February</v>
      </c>
      <c r="D32" s="4">
        <f>Raw_Data!A32</f>
        <v>15</v>
      </c>
      <c r="E32" s="4" t="str">
        <f>Raw_Data!B32</f>
        <v>a</v>
      </c>
      <c r="F32" s="4">
        <f>Raw_Data!C32</f>
        <v>357.87050169999998</v>
      </c>
    </row>
    <row r="33" spans="1:6" thickTop="1" thickBot="1" x14ac:dyDescent="0.35">
      <c r="A33" s="5">
        <f>Raw_Data!D33</f>
        <v>44865</v>
      </c>
      <c r="B33" s="4">
        <f>YEAR(A33)</f>
        <v>2022</v>
      </c>
      <c r="C33" s="4" t="str">
        <f>TEXT(A33,"mmmm")</f>
        <v>October</v>
      </c>
      <c r="D33" s="4">
        <f>Raw_Data!A33</f>
        <v>32</v>
      </c>
      <c r="E33" s="4" t="str">
        <f>Raw_Data!B33</f>
        <v>a</v>
      </c>
      <c r="F33" s="4">
        <f>Raw_Data!C33</f>
        <v>487.80049029999998</v>
      </c>
    </row>
    <row r="34" spans="1:6" thickTop="1" thickBot="1" x14ac:dyDescent="0.35">
      <c r="A34" s="5">
        <f>Raw_Data!D34</f>
        <v>44888</v>
      </c>
      <c r="B34" s="4">
        <f>YEAR(A34)</f>
        <v>2022</v>
      </c>
      <c r="C34" s="4" t="str">
        <f>TEXT(A34,"mmmm")</f>
        <v>November</v>
      </c>
      <c r="D34" s="4">
        <f>Raw_Data!A34</f>
        <v>7</v>
      </c>
      <c r="E34" s="4" t="str">
        <f>Raw_Data!B34</f>
        <v>d</v>
      </c>
      <c r="F34" s="4">
        <f>Raw_Data!C34</f>
        <v>392.92207289999999</v>
      </c>
    </row>
    <row r="35" spans="1:6" thickTop="1" thickBot="1" x14ac:dyDescent="0.35">
      <c r="A35" s="5">
        <f>Raw_Data!D35</f>
        <v>44809</v>
      </c>
      <c r="B35" s="4">
        <f>YEAR(A35)</f>
        <v>2022</v>
      </c>
      <c r="C35" s="4" t="str">
        <f>TEXT(A35,"mmmm")</f>
        <v>September</v>
      </c>
      <c r="D35" s="4">
        <f>Raw_Data!A35</f>
        <v>9</v>
      </c>
      <c r="E35" s="4" t="str">
        <f>Raw_Data!B35</f>
        <v>c</v>
      </c>
      <c r="F35" s="4">
        <f>Raw_Data!C35</f>
        <v>311.22460560000002</v>
      </c>
    </row>
    <row r="36" spans="1:6" thickTop="1" thickBot="1" x14ac:dyDescent="0.35">
      <c r="A36" s="5">
        <f>Raw_Data!D36</f>
        <v>44791</v>
      </c>
      <c r="B36" s="4">
        <f>YEAR(A36)</f>
        <v>2022</v>
      </c>
      <c r="C36" s="4" t="str">
        <f>TEXT(A36,"mmmm")</f>
        <v>August</v>
      </c>
      <c r="D36" s="4">
        <f>Raw_Data!A36</f>
        <v>41</v>
      </c>
      <c r="E36" s="4" t="str">
        <f>Raw_Data!B36</f>
        <v>b</v>
      </c>
      <c r="F36" s="4">
        <f>Raw_Data!C36</f>
        <v>425.67789679999998</v>
      </c>
    </row>
    <row r="37" spans="1:6" thickTop="1" thickBot="1" x14ac:dyDescent="0.35">
      <c r="A37" s="5">
        <f>Raw_Data!D37</f>
        <v>44840</v>
      </c>
      <c r="B37" s="4">
        <f>YEAR(A37)</f>
        <v>2022</v>
      </c>
      <c r="C37" s="4" t="str">
        <f>TEXT(A37,"mmmm")</f>
        <v>October</v>
      </c>
      <c r="D37" s="4">
        <f>Raw_Data!A37</f>
        <v>74</v>
      </c>
      <c r="E37" s="4" t="str">
        <f>Raw_Data!B37</f>
        <v>g</v>
      </c>
      <c r="F37" s="4">
        <f>Raw_Data!C37</f>
        <v>412.43527840000002</v>
      </c>
    </row>
    <row r="38" spans="1:6" thickTop="1" thickBot="1" x14ac:dyDescent="0.35">
      <c r="A38" s="5">
        <f>Raw_Data!D38</f>
        <v>44903</v>
      </c>
      <c r="B38" s="4">
        <f>YEAR(A38)</f>
        <v>2022</v>
      </c>
      <c r="C38" s="4" t="str">
        <f>TEXT(A38,"mmmm")</f>
        <v>December</v>
      </c>
      <c r="D38" s="4">
        <f>Raw_Data!A38</f>
        <v>23</v>
      </c>
      <c r="E38" s="4" t="str">
        <f>Raw_Data!B38</f>
        <v>b</v>
      </c>
      <c r="F38" s="4">
        <f>Raw_Data!C38</f>
        <v>650.75989049999998</v>
      </c>
    </row>
    <row r="39" spans="1:6" thickTop="1" thickBot="1" x14ac:dyDescent="0.35">
      <c r="A39" s="5">
        <f>Raw_Data!D39</f>
        <v>44735</v>
      </c>
      <c r="B39" s="4">
        <f>YEAR(A39)</f>
        <v>2022</v>
      </c>
      <c r="C39" s="4" t="str">
        <f>TEXT(A39,"mmmm")</f>
        <v>June</v>
      </c>
      <c r="D39" s="4">
        <f>Raw_Data!A39</f>
        <v>27</v>
      </c>
      <c r="E39" s="4" t="str">
        <f>Raw_Data!B39</f>
        <v>b</v>
      </c>
      <c r="F39" s="4">
        <f>Raw_Data!C39</f>
        <v>450.42203039999998</v>
      </c>
    </row>
    <row r="40" spans="1:6" thickTop="1" thickBot="1" x14ac:dyDescent="0.35">
      <c r="A40" s="5">
        <f>Raw_Data!D40</f>
        <v>44814</v>
      </c>
      <c r="B40" s="4">
        <f>YEAR(A40)</f>
        <v>2022</v>
      </c>
      <c r="C40" s="4" t="str">
        <f>TEXT(A40,"mmmm")</f>
        <v>September</v>
      </c>
      <c r="D40" s="4">
        <f>Raw_Data!A40</f>
        <v>60</v>
      </c>
      <c r="E40" s="4" t="str">
        <f>Raw_Data!B40</f>
        <v>g</v>
      </c>
      <c r="F40" s="4">
        <f>Raw_Data!C40</f>
        <v>541.51550789999999</v>
      </c>
    </row>
    <row r="41" spans="1:6" thickTop="1" thickBot="1" x14ac:dyDescent="0.35">
      <c r="A41" s="5">
        <f>Raw_Data!D41</f>
        <v>44635</v>
      </c>
      <c r="B41" s="4">
        <f>YEAR(A41)</f>
        <v>2022</v>
      </c>
      <c r="C41" s="4" t="str">
        <f>TEXT(A41,"mmmm")</f>
        <v>March</v>
      </c>
      <c r="D41" s="4">
        <f>Raw_Data!A41</f>
        <v>53</v>
      </c>
      <c r="E41" s="4" t="str">
        <f>Raw_Data!B41</f>
        <v>j</v>
      </c>
      <c r="F41" s="4">
        <f>Raw_Data!C41</f>
        <v>459.86068260000002</v>
      </c>
    </row>
    <row r="42" spans="1:6" thickTop="1" thickBot="1" x14ac:dyDescent="0.35">
      <c r="A42" s="5">
        <f>Raw_Data!D42</f>
        <v>44774</v>
      </c>
      <c r="B42" s="4">
        <f>YEAR(A42)</f>
        <v>2022</v>
      </c>
      <c r="C42" s="4" t="str">
        <f>TEXT(A42,"mmmm")</f>
        <v>August</v>
      </c>
      <c r="D42" s="4">
        <f>Raw_Data!A42</f>
        <v>7</v>
      </c>
      <c r="E42" s="4" t="str">
        <f>Raw_Data!B42</f>
        <v>d</v>
      </c>
      <c r="F42" s="4">
        <f>Raw_Data!C42</f>
        <v>442.65911829999999</v>
      </c>
    </row>
    <row r="43" spans="1:6" thickTop="1" thickBot="1" x14ac:dyDescent="0.35">
      <c r="A43" s="5">
        <f>Raw_Data!D43</f>
        <v>44917</v>
      </c>
      <c r="B43" s="4">
        <f>YEAR(A43)</f>
        <v>2022</v>
      </c>
      <c r="C43" s="4" t="str">
        <f>TEXT(A43,"mmmm")</f>
        <v>December</v>
      </c>
      <c r="D43" s="4">
        <f>Raw_Data!A43</f>
        <v>53</v>
      </c>
      <c r="E43" s="4" t="str">
        <f>Raw_Data!B43</f>
        <v>d</v>
      </c>
      <c r="F43" s="4">
        <f>Raw_Data!C43</f>
        <v>390.62024559999998</v>
      </c>
    </row>
    <row r="44" spans="1:6" thickTop="1" thickBot="1" x14ac:dyDescent="0.35">
      <c r="A44" s="5">
        <f>Raw_Data!D44</f>
        <v>44764</v>
      </c>
      <c r="B44" s="4">
        <f>YEAR(A44)</f>
        <v>2022</v>
      </c>
      <c r="C44" s="4" t="str">
        <f>TEXT(A44,"mmmm")</f>
        <v>July</v>
      </c>
      <c r="D44" s="4">
        <f>Raw_Data!A44</f>
        <v>27</v>
      </c>
      <c r="E44" s="4" t="str">
        <f>Raw_Data!B44</f>
        <v>h</v>
      </c>
      <c r="F44" s="4">
        <f>Raw_Data!C44</f>
        <v>350.24154750000002</v>
      </c>
    </row>
    <row r="45" spans="1:6" thickTop="1" thickBot="1" x14ac:dyDescent="0.35">
      <c r="A45" s="5">
        <f>Raw_Data!D45</f>
        <v>44605</v>
      </c>
      <c r="B45" s="4">
        <f>YEAR(A45)</f>
        <v>2022</v>
      </c>
      <c r="C45" s="4" t="str">
        <f>TEXT(A45,"mmmm")</f>
        <v>February</v>
      </c>
      <c r="D45" s="4">
        <f>Raw_Data!A45</f>
        <v>96</v>
      </c>
      <c r="E45" s="4" t="str">
        <f>Raw_Data!B45</f>
        <v>i</v>
      </c>
      <c r="F45" s="4">
        <f>Raw_Data!C45</f>
        <v>546.80762289999996</v>
      </c>
    </row>
    <row r="46" spans="1:6" thickTop="1" thickBot="1" x14ac:dyDescent="0.35">
      <c r="A46" s="5">
        <f>Raw_Data!D46</f>
        <v>44701</v>
      </c>
      <c r="B46" s="4">
        <f>YEAR(A46)</f>
        <v>2022</v>
      </c>
      <c r="C46" s="4" t="str">
        <f>TEXT(A46,"mmmm")</f>
        <v>May</v>
      </c>
      <c r="D46" s="4">
        <f>Raw_Data!A46</f>
        <v>38</v>
      </c>
      <c r="E46" s="4" t="str">
        <f>Raw_Data!B46</f>
        <v>c</v>
      </c>
      <c r="F46" s="4">
        <f>Raw_Data!C46</f>
        <v>657.64509820000001</v>
      </c>
    </row>
    <row r="47" spans="1:6" thickTop="1" thickBot="1" x14ac:dyDescent="0.35">
      <c r="A47" s="5">
        <f>Raw_Data!D47</f>
        <v>44887</v>
      </c>
      <c r="B47" s="4">
        <f>YEAR(A47)</f>
        <v>2022</v>
      </c>
      <c r="C47" s="4" t="str">
        <f>TEXT(A47,"mmmm")</f>
        <v>November</v>
      </c>
      <c r="D47" s="4">
        <f>Raw_Data!A47</f>
        <v>89</v>
      </c>
      <c r="E47" s="4" t="str">
        <f>Raw_Data!B47</f>
        <v>i</v>
      </c>
      <c r="F47" s="4">
        <f>Raw_Data!C47</f>
        <v>532.19115160000001</v>
      </c>
    </row>
    <row r="48" spans="1:6" thickTop="1" thickBot="1" x14ac:dyDescent="0.35">
      <c r="A48" s="5">
        <f>Raw_Data!D48</f>
        <v>44630</v>
      </c>
      <c r="B48" s="4">
        <f>YEAR(A48)</f>
        <v>2022</v>
      </c>
      <c r="C48" s="4" t="str">
        <f>TEXT(A48,"mmmm")</f>
        <v>March</v>
      </c>
      <c r="D48" s="4">
        <f>Raw_Data!A48</f>
        <v>34</v>
      </c>
      <c r="E48" s="4" t="str">
        <f>Raw_Data!B48</f>
        <v>c</v>
      </c>
      <c r="F48" s="4">
        <f>Raw_Data!C48</f>
        <v>541.03015370000003</v>
      </c>
    </row>
    <row r="49" spans="1:6" thickTop="1" thickBot="1" x14ac:dyDescent="0.35">
      <c r="A49" s="5">
        <f>Raw_Data!D49</f>
        <v>44686</v>
      </c>
      <c r="B49" s="4">
        <f>YEAR(A49)</f>
        <v>2022</v>
      </c>
      <c r="C49" s="4" t="str">
        <f>TEXT(A49,"mmmm")</f>
        <v>May</v>
      </c>
      <c r="D49" s="4">
        <f>Raw_Data!A49</f>
        <v>93</v>
      </c>
      <c r="E49" s="4" t="str">
        <f>Raw_Data!B49</f>
        <v>f</v>
      </c>
      <c r="F49" s="4">
        <f>Raw_Data!C49</f>
        <v>498.91697429999999</v>
      </c>
    </row>
    <row r="50" spans="1:6" thickTop="1" thickBot="1" x14ac:dyDescent="0.35">
      <c r="A50" s="5">
        <f>Raw_Data!D50</f>
        <v>44747</v>
      </c>
      <c r="B50" s="4">
        <f>YEAR(A50)</f>
        <v>2022</v>
      </c>
      <c r="C50" s="4" t="str">
        <f>TEXT(A50,"mmmm")</f>
        <v>July</v>
      </c>
      <c r="D50" s="4">
        <f>Raw_Data!A50</f>
        <v>69</v>
      </c>
      <c r="E50" s="4" t="str">
        <f>Raw_Data!B50</f>
        <v>e</v>
      </c>
      <c r="F50" s="4">
        <f>Raw_Data!C50</f>
        <v>596.14536680000003</v>
      </c>
    </row>
    <row r="51" spans="1:6" thickTop="1" thickBot="1" x14ac:dyDescent="0.35">
      <c r="A51" s="5">
        <f>Raw_Data!D51</f>
        <v>44612</v>
      </c>
      <c r="B51" s="4">
        <f>YEAR(A51)</f>
        <v>2022</v>
      </c>
      <c r="C51" s="4" t="str">
        <f>TEXT(A51,"mmmm")</f>
        <v>February</v>
      </c>
      <c r="D51" s="4">
        <f>Raw_Data!A51</f>
        <v>72</v>
      </c>
      <c r="E51" s="4" t="str">
        <f>Raw_Data!B51</f>
        <v>b</v>
      </c>
      <c r="F51" s="4">
        <f>Raw_Data!C51</f>
        <v>543.12322010000003</v>
      </c>
    </row>
    <row r="52" spans="1:6" thickTop="1" thickBot="1" x14ac:dyDescent="0.35">
      <c r="A52" s="5">
        <f>Raw_Data!D52</f>
        <v>44570</v>
      </c>
      <c r="B52" s="4">
        <f>YEAR(A52)</f>
        <v>2022</v>
      </c>
      <c r="C52" s="4" t="str">
        <f>TEXT(A52,"mmmm")</f>
        <v>January</v>
      </c>
      <c r="D52" s="4">
        <f>Raw_Data!A52</f>
        <v>76</v>
      </c>
      <c r="E52" s="4" t="str">
        <f>Raw_Data!B52</f>
        <v>f</v>
      </c>
      <c r="F52" s="4">
        <f>Raw_Data!C52</f>
        <v>330.61330270000002</v>
      </c>
    </row>
    <row r="53" spans="1:6" thickTop="1" thickBot="1" x14ac:dyDescent="0.35">
      <c r="A53" s="5">
        <f>Raw_Data!D53</f>
        <v>44589</v>
      </c>
      <c r="B53" s="4">
        <f>YEAR(A53)</f>
        <v>2022</v>
      </c>
      <c r="C53" s="4" t="str">
        <f>TEXT(A53,"mmmm")</f>
        <v>January</v>
      </c>
      <c r="D53" s="4">
        <f>Raw_Data!A53</f>
        <v>63</v>
      </c>
      <c r="E53" s="4" t="str">
        <f>Raw_Data!B53</f>
        <v>a</v>
      </c>
      <c r="F53" s="4">
        <f>Raw_Data!C53</f>
        <v>315.59406269999999</v>
      </c>
    </row>
    <row r="54" spans="1:6" thickTop="1" thickBot="1" x14ac:dyDescent="0.35">
      <c r="A54" s="5">
        <f>Raw_Data!D54</f>
        <v>44754</v>
      </c>
      <c r="B54" s="4">
        <f>YEAR(A54)</f>
        <v>2022</v>
      </c>
      <c r="C54" s="4" t="str">
        <f>TEXT(A54,"mmmm")</f>
        <v>July</v>
      </c>
      <c r="D54" s="4">
        <f>Raw_Data!A54</f>
        <v>13</v>
      </c>
      <c r="E54" s="4" t="str">
        <f>Raw_Data!B54</f>
        <v>e</v>
      </c>
      <c r="F54" s="4">
        <f>Raw_Data!C54</f>
        <v>480.94963919999998</v>
      </c>
    </row>
    <row r="55" spans="1:6" thickTop="1" thickBot="1" x14ac:dyDescent="0.35">
      <c r="A55" s="5">
        <f>Raw_Data!D55</f>
        <v>44867</v>
      </c>
      <c r="B55" s="4">
        <f>YEAR(A55)</f>
        <v>2022</v>
      </c>
      <c r="C55" s="4" t="str">
        <f>TEXT(A55,"mmmm")</f>
        <v>November</v>
      </c>
      <c r="D55" s="4">
        <f>Raw_Data!A55</f>
        <v>82</v>
      </c>
      <c r="E55" s="4" t="str">
        <f>Raw_Data!B55</f>
        <v>c</v>
      </c>
      <c r="F55" s="4">
        <f>Raw_Data!C55</f>
        <v>397.06601039999998</v>
      </c>
    </row>
    <row r="56" spans="1:6" thickTop="1" thickBot="1" x14ac:dyDescent="0.35">
      <c r="A56" s="5">
        <f>Raw_Data!D56</f>
        <v>44603</v>
      </c>
      <c r="B56" s="4">
        <f>YEAR(A56)</f>
        <v>2022</v>
      </c>
      <c r="C56" s="4" t="str">
        <f>TEXT(A56,"mmmm")</f>
        <v>February</v>
      </c>
      <c r="D56" s="4">
        <f>Raw_Data!A56</f>
        <v>97</v>
      </c>
      <c r="E56" s="4" t="str">
        <f>Raw_Data!B56</f>
        <v>c</v>
      </c>
      <c r="F56" s="4">
        <f>Raw_Data!C56</f>
        <v>559.03110389999995</v>
      </c>
    </row>
    <row r="57" spans="1:6" thickTop="1" thickBot="1" x14ac:dyDescent="0.35">
      <c r="A57" s="5">
        <f>Raw_Data!D57</f>
        <v>44779</v>
      </c>
      <c r="B57" s="4">
        <f>YEAR(A57)</f>
        <v>2022</v>
      </c>
      <c r="C57" s="4" t="str">
        <f>TEXT(A57,"mmmm")</f>
        <v>August</v>
      </c>
      <c r="D57" s="4">
        <f>Raw_Data!A57</f>
        <v>91</v>
      </c>
      <c r="E57" s="4" t="str">
        <f>Raw_Data!B57</f>
        <v>c</v>
      </c>
      <c r="F57" s="4">
        <f>Raw_Data!C57</f>
        <v>456.10509510000003</v>
      </c>
    </row>
    <row r="58" spans="1:6" thickTop="1" thickBot="1" x14ac:dyDescent="0.35">
      <c r="A58" s="5">
        <f>Raw_Data!D58</f>
        <v>44773</v>
      </c>
      <c r="B58" s="4">
        <f>YEAR(A58)</f>
        <v>2022</v>
      </c>
      <c r="C58" s="4" t="str">
        <f>TEXT(A58,"mmmm")</f>
        <v>July</v>
      </c>
      <c r="D58" s="4">
        <f>Raw_Data!A58</f>
        <v>25</v>
      </c>
      <c r="E58" s="4" t="str">
        <f>Raw_Data!B58</f>
        <v>f</v>
      </c>
      <c r="F58" s="4">
        <f>Raw_Data!C58</f>
        <v>599.63475489999996</v>
      </c>
    </row>
    <row r="59" spans="1:6" thickTop="1" thickBot="1" x14ac:dyDescent="0.35">
      <c r="A59" s="5">
        <f>Raw_Data!D59</f>
        <v>44739</v>
      </c>
      <c r="B59" s="4">
        <f>YEAR(A59)</f>
        <v>2022</v>
      </c>
      <c r="C59" s="4" t="str">
        <f>TEXT(A59,"mmmm")</f>
        <v>June</v>
      </c>
      <c r="D59" s="4">
        <f>Raw_Data!A59</f>
        <v>38</v>
      </c>
      <c r="E59" s="4" t="str">
        <f>Raw_Data!B59</f>
        <v>i</v>
      </c>
      <c r="F59" s="4">
        <f>Raw_Data!C59</f>
        <v>667.50919009999996</v>
      </c>
    </row>
    <row r="60" spans="1:6" thickTop="1" thickBot="1" x14ac:dyDescent="0.35">
      <c r="A60" s="5">
        <f>Raw_Data!D60</f>
        <v>44727</v>
      </c>
      <c r="B60" s="4">
        <f>YEAR(A60)</f>
        <v>2022</v>
      </c>
      <c r="C60" s="4" t="str">
        <f>TEXT(A60,"mmmm")</f>
        <v>June</v>
      </c>
      <c r="D60" s="4">
        <f>Raw_Data!A60</f>
        <v>21</v>
      </c>
      <c r="E60" s="4" t="str">
        <f>Raw_Data!B60</f>
        <v>c</v>
      </c>
      <c r="F60" s="4">
        <f>Raw_Data!C60</f>
        <v>665.10122820000004</v>
      </c>
    </row>
    <row r="61" spans="1:6" thickTop="1" thickBot="1" x14ac:dyDescent="0.35">
      <c r="A61" s="5">
        <f>Raw_Data!D61</f>
        <v>44874</v>
      </c>
      <c r="B61" s="4">
        <f>YEAR(A61)</f>
        <v>2022</v>
      </c>
      <c r="C61" s="4" t="str">
        <f>TEXT(A61,"mmmm")</f>
        <v>November</v>
      </c>
      <c r="D61" s="4">
        <f>Raw_Data!A61</f>
        <v>79</v>
      </c>
      <c r="E61" s="4" t="str">
        <f>Raw_Data!B61</f>
        <v>b</v>
      </c>
      <c r="F61" s="4">
        <f>Raw_Data!C61</f>
        <v>480.31728190000001</v>
      </c>
    </row>
    <row r="62" spans="1:6" thickTop="1" thickBot="1" x14ac:dyDescent="0.35">
      <c r="A62" s="5">
        <f>Raw_Data!D62</f>
        <v>44892</v>
      </c>
      <c r="B62" s="4">
        <f>YEAR(A62)</f>
        <v>2022</v>
      </c>
      <c r="C62" s="4" t="str">
        <f>TEXT(A62,"mmmm")</f>
        <v>November</v>
      </c>
      <c r="D62" s="4">
        <f>Raw_Data!A62</f>
        <v>41</v>
      </c>
      <c r="E62" s="4" t="str">
        <f>Raw_Data!B62</f>
        <v>e</v>
      </c>
      <c r="F62" s="4">
        <f>Raw_Data!C62</f>
        <v>419.55437039999998</v>
      </c>
    </row>
    <row r="63" spans="1:6" thickTop="1" thickBot="1" x14ac:dyDescent="0.35">
      <c r="A63" s="5">
        <f>Raw_Data!D63</f>
        <v>44892</v>
      </c>
      <c r="B63" s="4">
        <f>YEAR(A63)</f>
        <v>2022</v>
      </c>
      <c r="C63" s="4" t="str">
        <f>TEXT(A63,"mmmm")</f>
        <v>November</v>
      </c>
      <c r="D63" s="4">
        <f>Raw_Data!A63</f>
        <v>47</v>
      </c>
      <c r="E63" s="4" t="str">
        <f>Raw_Data!B63</f>
        <v>e</v>
      </c>
      <c r="F63" s="4">
        <f>Raw_Data!C63</f>
        <v>486.18927989999997</v>
      </c>
    </row>
    <row r="64" spans="1:6" thickTop="1" thickBot="1" x14ac:dyDescent="0.35">
      <c r="A64" s="5">
        <f>Raw_Data!D64</f>
        <v>44581</v>
      </c>
      <c r="B64" s="4">
        <f>YEAR(A64)</f>
        <v>2022</v>
      </c>
      <c r="C64" s="4" t="str">
        <f>TEXT(A64,"mmmm")</f>
        <v>January</v>
      </c>
      <c r="D64" s="4">
        <f>Raw_Data!A64</f>
        <v>90</v>
      </c>
      <c r="E64" s="4" t="str">
        <f>Raw_Data!B64</f>
        <v>g</v>
      </c>
      <c r="F64" s="4">
        <f>Raw_Data!C64</f>
        <v>361.64677349999999</v>
      </c>
    </row>
    <row r="65" spans="1:6" thickTop="1" thickBot="1" x14ac:dyDescent="0.35">
      <c r="A65" s="5">
        <f>Raw_Data!D65</f>
        <v>44895</v>
      </c>
      <c r="B65" s="4">
        <f>YEAR(A65)</f>
        <v>2022</v>
      </c>
      <c r="C65" s="4" t="str">
        <f>TEXT(A65,"mmmm")</f>
        <v>November</v>
      </c>
      <c r="D65" s="4">
        <f>Raw_Data!A65</f>
        <v>60</v>
      </c>
      <c r="E65" s="4" t="str">
        <f>Raw_Data!B65</f>
        <v>b</v>
      </c>
      <c r="F65" s="4">
        <f>Raw_Data!C65</f>
        <v>625.33064820000004</v>
      </c>
    </row>
    <row r="66" spans="1:6" thickTop="1" thickBot="1" x14ac:dyDescent="0.35">
      <c r="A66" s="5">
        <f>Raw_Data!D66</f>
        <v>44777</v>
      </c>
      <c r="B66" s="4">
        <f>YEAR(A66)</f>
        <v>2022</v>
      </c>
      <c r="C66" s="4" t="str">
        <f>TEXT(A66,"mmmm")</f>
        <v>August</v>
      </c>
      <c r="D66" s="4">
        <f>Raw_Data!A66</f>
        <v>95</v>
      </c>
      <c r="E66" s="4" t="str">
        <f>Raw_Data!B66</f>
        <v>h</v>
      </c>
      <c r="F66" s="4">
        <f>Raw_Data!C66</f>
        <v>313.1225015</v>
      </c>
    </row>
    <row r="67" spans="1:6" thickTop="1" thickBot="1" x14ac:dyDescent="0.35">
      <c r="A67" s="5">
        <f>Raw_Data!D67</f>
        <v>44618</v>
      </c>
      <c r="B67" s="4">
        <f>YEAR(A67)</f>
        <v>2022</v>
      </c>
      <c r="C67" s="4" t="str">
        <f>TEXT(A67,"mmmm")</f>
        <v>February</v>
      </c>
      <c r="D67" s="4">
        <f>Raw_Data!A67</f>
        <v>16</v>
      </c>
      <c r="E67" s="4" t="str">
        <f>Raw_Data!B67</f>
        <v>g</v>
      </c>
      <c r="F67" s="4">
        <f>Raw_Data!C67</f>
        <v>379.13321860000002</v>
      </c>
    </row>
    <row r="68" spans="1:6" thickTop="1" thickBot="1" x14ac:dyDescent="0.35">
      <c r="A68" s="5">
        <f>Raw_Data!D68</f>
        <v>44759</v>
      </c>
      <c r="B68" s="4">
        <f>YEAR(A68)</f>
        <v>2022</v>
      </c>
      <c r="C68" s="4" t="str">
        <f>TEXT(A68,"mmmm")</f>
        <v>July</v>
      </c>
      <c r="D68" s="4">
        <f>Raw_Data!A68</f>
        <v>94</v>
      </c>
      <c r="E68" s="4" t="str">
        <f>Raw_Data!B68</f>
        <v>g</v>
      </c>
      <c r="F68" s="4">
        <f>Raw_Data!C68</f>
        <v>558.14156579999997</v>
      </c>
    </row>
    <row r="69" spans="1:6" thickTop="1" thickBot="1" x14ac:dyDescent="0.35">
      <c r="A69" s="5">
        <f>Raw_Data!D69</f>
        <v>44868</v>
      </c>
      <c r="B69" s="4">
        <f>YEAR(A69)</f>
        <v>2022</v>
      </c>
      <c r="C69" s="4" t="str">
        <f>TEXT(A69,"mmmm")</f>
        <v>November</v>
      </c>
      <c r="D69" s="4">
        <f>Raw_Data!A69</f>
        <v>6</v>
      </c>
      <c r="E69" s="4" t="str">
        <f>Raw_Data!B69</f>
        <v>h</v>
      </c>
      <c r="F69" s="4">
        <f>Raw_Data!C69</f>
        <v>534.36891219999995</v>
      </c>
    </row>
    <row r="70" spans="1:6" thickTop="1" thickBot="1" x14ac:dyDescent="0.35">
      <c r="A70" s="5">
        <f>Raw_Data!D70</f>
        <v>44715</v>
      </c>
      <c r="B70" s="4">
        <f>YEAR(A70)</f>
        <v>2022</v>
      </c>
      <c r="C70" s="4" t="str">
        <f>TEXT(A70,"mmmm")</f>
        <v>June</v>
      </c>
      <c r="D70" s="4">
        <f>Raw_Data!A70</f>
        <v>72</v>
      </c>
      <c r="E70" s="4" t="str">
        <f>Raw_Data!B70</f>
        <v>e</v>
      </c>
      <c r="F70" s="4">
        <f>Raw_Data!C70</f>
        <v>586.8671038</v>
      </c>
    </row>
    <row r="71" spans="1:6" thickTop="1" thickBot="1" x14ac:dyDescent="0.35">
      <c r="A71" s="5">
        <f>Raw_Data!D71</f>
        <v>44837</v>
      </c>
      <c r="B71" s="4">
        <f>YEAR(A71)</f>
        <v>2022</v>
      </c>
      <c r="C71" s="4" t="str">
        <f>TEXT(A71,"mmmm")</f>
        <v>October</v>
      </c>
      <c r="D71" s="4">
        <f>Raw_Data!A71</f>
        <v>86</v>
      </c>
      <c r="E71" s="4" t="str">
        <f>Raw_Data!B71</f>
        <v>b</v>
      </c>
      <c r="F71" s="4">
        <f>Raw_Data!C71</f>
        <v>405.37588670000002</v>
      </c>
    </row>
    <row r="72" spans="1:6" thickTop="1" thickBot="1" x14ac:dyDescent="0.35">
      <c r="A72" s="5">
        <f>Raw_Data!D72</f>
        <v>44702</v>
      </c>
      <c r="B72" s="4">
        <f>YEAR(A72)</f>
        <v>2022</v>
      </c>
      <c r="C72" s="4" t="str">
        <f>TEXT(A72,"mmmm")</f>
        <v>May</v>
      </c>
      <c r="D72" s="4">
        <f>Raw_Data!A72</f>
        <v>86</v>
      </c>
      <c r="E72" s="4" t="str">
        <f>Raw_Data!B72</f>
        <v>c</v>
      </c>
      <c r="F72" s="4">
        <f>Raw_Data!C72</f>
        <v>339.10247129999999</v>
      </c>
    </row>
    <row r="73" spans="1:6" thickTop="1" thickBot="1" x14ac:dyDescent="0.35">
      <c r="A73" s="5">
        <f>Raw_Data!D73</f>
        <v>44765</v>
      </c>
      <c r="B73" s="4">
        <f>YEAR(A73)</f>
        <v>2022</v>
      </c>
      <c r="C73" s="4" t="str">
        <f>TEXT(A73,"mmmm")</f>
        <v>July</v>
      </c>
      <c r="D73" s="4">
        <f>Raw_Data!A73</f>
        <v>39</v>
      </c>
      <c r="E73" s="4" t="str">
        <f>Raw_Data!B73</f>
        <v>i</v>
      </c>
      <c r="F73" s="4">
        <f>Raw_Data!C73</f>
        <v>600.08817309999995</v>
      </c>
    </row>
    <row r="74" spans="1:6" thickTop="1" thickBot="1" x14ac:dyDescent="0.35">
      <c r="A74" s="5">
        <f>Raw_Data!D74</f>
        <v>44864</v>
      </c>
      <c r="B74" s="4">
        <f>YEAR(A74)</f>
        <v>2022</v>
      </c>
      <c r="C74" s="4" t="str">
        <f>TEXT(A74,"mmmm")</f>
        <v>October</v>
      </c>
      <c r="D74" s="4">
        <f>Raw_Data!A74</f>
        <v>31</v>
      </c>
      <c r="E74" s="4" t="str">
        <f>Raw_Data!B74</f>
        <v>c</v>
      </c>
      <c r="F74" s="4">
        <f>Raw_Data!C74</f>
        <v>557.53895109999996</v>
      </c>
    </row>
    <row r="75" spans="1:6" thickTop="1" thickBot="1" x14ac:dyDescent="0.35">
      <c r="A75" s="5">
        <f>Raw_Data!D75</f>
        <v>44659</v>
      </c>
      <c r="B75" s="4">
        <f>YEAR(A75)</f>
        <v>2022</v>
      </c>
      <c r="C75" s="4" t="str">
        <f>TEXT(A75,"mmmm")</f>
        <v>April</v>
      </c>
      <c r="D75" s="4">
        <f>Raw_Data!A75</f>
        <v>81</v>
      </c>
      <c r="E75" s="4" t="str">
        <f>Raw_Data!B75</f>
        <v>c</v>
      </c>
      <c r="F75" s="4">
        <f>Raw_Data!C75</f>
        <v>724.04935980000005</v>
      </c>
    </row>
    <row r="76" spans="1:6" thickTop="1" thickBot="1" x14ac:dyDescent="0.35">
      <c r="A76" s="5">
        <f>Raw_Data!D76</f>
        <v>44622</v>
      </c>
      <c r="B76" s="4">
        <f>YEAR(A76)</f>
        <v>2022</v>
      </c>
      <c r="C76" s="4" t="str">
        <f>TEXT(A76,"mmmm")</f>
        <v>March</v>
      </c>
      <c r="D76" s="4">
        <f>Raw_Data!A76</f>
        <v>50</v>
      </c>
      <c r="E76" s="4" t="str">
        <f>Raw_Data!B76</f>
        <v>e</v>
      </c>
      <c r="F76" s="4">
        <f>Raw_Data!C76</f>
        <v>392.77048079999997</v>
      </c>
    </row>
    <row r="77" spans="1:6" thickTop="1" thickBot="1" x14ac:dyDescent="0.35">
      <c r="A77" s="5">
        <f>Raw_Data!D77</f>
        <v>44749</v>
      </c>
      <c r="B77" s="4">
        <f>YEAR(A77)</f>
        <v>2022</v>
      </c>
      <c r="C77" s="4" t="str">
        <f>TEXT(A77,"mmmm")</f>
        <v>July</v>
      </c>
      <c r="D77" s="4">
        <f>Raw_Data!A77</f>
        <v>34</v>
      </c>
      <c r="E77" s="4" t="str">
        <f>Raw_Data!B77</f>
        <v>g</v>
      </c>
      <c r="F77" s="4">
        <f>Raw_Data!C77</f>
        <v>316.3667466</v>
      </c>
    </row>
    <row r="78" spans="1:6" thickTop="1" thickBot="1" x14ac:dyDescent="0.35">
      <c r="A78" s="5">
        <f>Raw_Data!D78</f>
        <v>44775</v>
      </c>
      <c r="B78" s="4">
        <f>YEAR(A78)</f>
        <v>2022</v>
      </c>
      <c r="C78" s="4" t="str">
        <f>TEXT(A78,"mmmm")</f>
        <v>August</v>
      </c>
      <c r="D78" s="4">
        <f>Raw_Data!A78</f>
        <v>4</v>
      </c>
      <c r="E78" s="4" t="str">
        <f>Raw_Data!B78</f>
        <v>h</v>
      </c>
      <c r="F78" s="4">
        <f>Raw_Data!C78</f>
        <v>581.11228019999999</v>
      </c>
    </row>
    <row r="79" spans="1:6" thickTop="1" thickBot="1" x14ac:dyDescent="0.35">
      <c r="A79" s="5">
        <f>Raw_Data!D79</f>
        <v>44823</v>
      </c>
      <c r="B79" s="4">
        <f>YEAR(A79)</f>
        <v>2022</v>
      </c>
      <c r="C79" s="4" t="str">
        <f>TEXT(A79,"mmmm")</f>
        <v>September</v>
      </c>
      <c r="D79" s="4">
        <f>Raw_Data!A79</f>
        <v>13</v>
      </c>
      <c r="E79" s="4" t="str">
        <f>Raw_Data!B79</f>
        <v>j</v>
      </c>
      <c r="F79" s="4">
        <f>Raw_Data!C79</f>
        <v>662.85832219999998</v>
      </c>
    </row>
    <row r="80" spans="1:6" thickTop="1" thickBot="1" x14ac:dyDescent="0.35">
      <c r="A80" s="5">
        <f>Raw_Data!D80</f>
        <v>44641</v>
      </c>
      <c r="B80" s="4">
        <f>YEAR(A80)</f>
        <v>2022</v>
      </c>
      <c r="C80" s="4" t="str">
        <f>TEXT(A80,"mmmm")</f>
        <v>March</v>
      </c>
      <c r="D80" s="4">
        <f>Raw_Data!A80</f>
        <v>69</v>
      </c>
      <c r="E80" s="4" t="str">
        <f>Raw_Data!B80</f>
        <v>d</v>
      </c>
      <c r="F80" s="4">
        <f>Raw_Data!C80</f>
        <v>483.066124</v>
      </c>
    </row>
    <row r="81" spans="1:6" thickTop="1" thickBot="1" x14ac:dyDescent="0.35">
      <c r="A81" s="5">
        <f>Raw_Data!D81</f>
        <v>44896</v>
      </c>
      <c r="B81" s="4">
        <f>YEAR(A81)</f>
        <v>2022</v>
      </c>
      <c r="C81" s="4" t="str">
        <f>TEXT(A81,"mmmm")</f>
        <v>December</v>
      </c>
      <c r="D81" s="4">
        <f>Raw_Data!A81</f>
        <v>25</v>
      </c>
      <c r="E81" s="4" t="str">
        <f>Raw_Data!B81</f>
        <v>c</v>
      </c>
      <c r="F81" s="4">
        <f>Raw_Data!C81</f>
        <v>585.85251440000002</v>
      </c>
    </row>
    <row r="82" spans="1:6" thickTop="1" thickBot="1" x14ac:dyDescent="0.35">
      <c r="A82" s="5">
        <f>Raw_Data!D82</f>
        <v>44858</v>
      </c>
      <c r="B82" s="4">
        <f>YEAR(A82)</f>
        <v>2022</v>
      </c>
      <c r="C82" s="4" t="str">
        <f>TEXT(A82,"mmmm")</f>
        <v>October</v>
      </c>
      <c r="D82" s="4">
        <f>Raw_Data!A82</f>
        <v>52</v>
      </c>
      <c r="E82" s="4" t="str">
        <f>Raw_Data!B82</f>
        <v>g</v>
      </c>
      <c r="F82" s="4">
        <f>Raw_Data!C82</f>
        <v>455.84032209999998</v>
      </c>
    </row>
    <row r="83" spans="1:6" thickTop="1" thickBot="1" x14ac:dyDescent="0.35">
      <c r="A83" s="5">
        <f>Raw_Data!D83</f>
        <v>44612</v>
      </c>
      <c r="B83" s="4">
        <f>YEAR(A83)</f>
        <v>2022</v>
      </c>
      <c r="C83" s="4" t="str">
        <f>TEXT(A83,"mmmm")</f>
        <v>February</v>
      </c>
      <c r="D83" s="4">
        <f>Raw_Data!A83</f>
        <v>22</v>
      </c>
      <c r="E83" s="4" t="str">
        <f>Raw_Data!B83</f>
        <v>h</v>
      </c>
      <c r="F83" s="4">
        <f>Raw_Data!C83</f>
        <v>608.58583680000004</v>
      </c>
    </row>
    <row r="84" spans="1:6" thickTop="1" thickBot="1" x14ac:dyDescent="0.35">
      <c r="A84" s="5">
        <f>Raw_Data!D84</f>
        <v>44659</v>
      </c>
      <c r="B84" s="4">
        <f>YEAR(A84)</f>
        <v>2022</v>
      </c>
      <c r="C84" s="4" t="str">
        <f>TEXT(A84,"mmmm")</f>
        <v>April</v>
      </c>
      <c r="D84" s="4">
        <f>Raw_Data!A84</f>
        <v>89</v>
      </c>
      <c r="E84" s="4" t="str">
        <f>Raw_Data!B84</f>
        <v>a</v>
      </c>
      <c r="F84" s="4">
        <f>Raw_Data!C84</f>
        <v>537.2178778</v>
      </c>
    </row>
    <row r="85" spans="1:6" thickTop="1" thickBot="1" x14ac:dyDescent="0.35">
      <c r="A85" s="5">
        <f>Raw_Data!D85</f>
        <v>44768</v>
      </c>
      <c r="B85" s="4">
        <f>YEAR(A85)</f>
        <v>2022</v>
      </c>
      <c r="C85" s="4" t="str">
        <f>TEXT(A85,"mmmm")</f>
        <v>July</v>
      </c>
      <c r="D85" s="4">
        <f>Raw_Data!A85</f>
        <v>32</v>
      </c>
      <c r="E85" s="4" t="str">
        <f>Raw_Data!B85</f>
        <v>g</v>
      </c>
      <c r="F85" s="4">
        <f>Raw_Data!C85</f>
        <v>550.39650349999999</v>
      </c>
    </row>
    <row r="86" spans="1:6" thickTop="1" thickBot="1" x14ac:dyDescent="0.35">
      <c r="A86" s="5">
        <f>Raw_Data!D86</f>
        <v>44623</v>
      </c>
      <c r="B86" s="4">
        <f>YEAR(A86)</f>
        <v>2022</v>
      </c>
      <c r="C86" s="4" t="str">
        <f>TEXT(A86,"mmmm")</f>
        <v>March</v>
      </c>
      <c r="D86" s="4">
        <f>Raw_Data!A86</f>
        <v>25</v>
      </c>
      <c r="E86" s="4" t="str">
        <f>Raw_Data!B86</f>
        <v>i</v>
      </c>
      <c r="F86" s="4">
        <f>Raw_Data!C86</f>
        <v>368.76293620000001</v>
      </c>
    </row>
    <row r="87" spans="1:6" thickTop="1" thickBot="1" x14ac:dyDescent="0.35">
      <c r="A87" s="5">
        <f>Raw_Data!D87</f>
        <v>44825</v>
      </c>
      <c r="B87" s="4">
        <f>YEAR(A87)</f>
        <v>2022</v>
      </c>
      <c r="C87" s="4" t="str">
        <f>TEXT(A87,"mmmm")</f>
        <v>September</v>
      </c>
      <c r="D87" s="4">
        <f>Raw_Data!A87</f>
        <v>87</v>
      </c>
      <c r="E87" s="4" t="str">
        <f>Raw_Data!B87</f>
        <v>c</v>
      </c>
      <c r="F87" s="4">
        <f>Raw_Data!C87</f>
        <v>429.65086350000001</v>
      </c>
    </row>
    <row r="88" spans="1:6" thickTop="1" thickBot="1" x14ac:dyDescent="0.35">
      <c r="A88" s="5">
        <f>Raw_Data!D88</f>
        <v>44822</v>
      </c>
      <c r="B88" s="4">
        <f>YEAR(A88)</f>
        <v>2022</v>
      </c>
      <c r="C88" s="4" t="str">
        <f>TEXT(A88,"mmmm")</f>
        <v>September</v>
      </c>
      <c r="D88" s="4">
        <f>Raw_Data!A88</f>
        <v>35</v>
      </c>
      <c r="E88" s="4" t="str">
        <f>Raw_Data!B88</f>
        <v>j</v>
      </c>
      <c r="F88" s="4">
        <f>Raw_Data!C88</f>
        <v>442.87706439999999</v>
      </c>
    </row>
    <row r="89" spans="1:6" thickTop="1" thickBot="1" x14ac:dyDescent="0.35">
      <c r="A89" s="5">
        <f>Raw_Data!D89</f>
        <v>44742</v>
      </c>
      <c r="B89" s="4">
        <f>YEAR(A89)</f>
        <v>2022</v>
      </c>
      <c r="C89" s="4" t="str">
        <f>TEXT(A89,"mmmm")</f>
        <v>June</v>
      </c>
      <c r="D89" s="4">
        <f>Raw_Data!A89</f>
        <v>40</v>
      </c>
      <c r="E89" s="4" t="str">
        <f>Raw_Data!B89</f>
        <v>f</v>
      </c>
      <c r="F89" s="4">
        <f>Raw_Data!C89</f>
        <v>474.59903539999999</v>
      </c>
    </row>
    <row r="90" spans="1:6" thickTop="1" thickBot="1" x14ac:dyDescent="0.35">
      <c r="A90" s="5">
        <f>Raw_Data!D90</f>
        <v>44792</v>
      </c>
      <c r="B90" s="4">
        <f>YEAR(A90)</f>
        <v>2022</v>
      </c>
      <c r="C90" s="4" t="str">
        <f>TEXT(A90,"mmmm")</f>
        <v>August</v>
      </c>
      <c r="D90" s="4">
        <f>Raw_Data!A90</f>
        <v>30</v>
      </c>
      <c r="E90" s="4" t="str">
        <f>Raw_Data!B90</f>
        <v>d</v>
      </c>
      <c r="F90" s="4">
        <f>Raw_Data!C90</f>
        <v>360.0803368</v>
      </c>
    </row>
    <row r="91" spans="1:6" thickTop="1" thickBot="1" x14ac:dyDescent="0.35">
      <c r="A91" s="5">
        <f>Raw_Data!D91</f>
        <v>44707</v>
      </c>
      <c r="B91" s="4">
        <f>YEAR(A91)</f>
        <v>2022</v>
      </c>
      <c r="C91" s="4" t="str">
        <f>TEXT(A91,"mmmm")</f>
        <v>May</v>
      </c>
      <c r="D91" s="4">
        <f>Raw_Data!A91</f>
        <v>12</v>
      </c>
      <c r="E91" s="4" t="str">
        <f>Raw_Data!B91</f>
        <v>i</v>
      </c>
      <c r="F91" s="4">
        <f>Raw_Data!C91</f>
        <v>563.03848919999996</v>
      </c>
    </row>
    <row r="92" spans="1:6" thickTop="1" thickBot="1" x14ac:dyDescent="0.35">
      <c r="A92" s="5">
        <f>Raw_Data!D92</f>
        <v>44911</v>
      </c>
      <c r="B92" s="4">
        <f>YEAR(A92)</f>
        <v>2022</v>
      </c>
      <c r="C92" s="4" t="str">
        <f>TEXT(A92,"mmmm")</f>
        <v>December</v>
      </c>
      <c r="D92" s="4">
        <f>Raw_Data!A92</f>
        <v>31</v>
      </c>
      <c r="E92" s="4" t="str">
        <f>Raw_Data!B92</f>
        <v>e</v>
      </c>
      <c r="F92" s="4">
        <f>Raw_Data!C92</f>
        <v>409.1637058</v>
      </c>
    </row>
    <row r="93" spans="1:6" thickTop="1" thickBot="1" x14ac:dyDescent="0.35">
      <c r="A93" s="5">
        <f>Raw_Data!D93</f>
        <v>44721</v>
      </c>
      <c r="B93" s="4">
        <f>YEAR(A93)</f>
        <v>2022</v>
      </c>
      <c r="C93" s="4" t="str">
        <f>TEXT(A93,"mmmm")</f>
        <v>June</v>
      </c>
      <c r="D93" s="4">
        <f>Raw_Data!A93</f>
        <v>30</v>
      </c>
      <c r="E93" s="4" t="str">
        <f>Raw_Data!B93</f>
        <v>i</v>
      </c>
      <c r="F93" s="4">
        <f>Raw_Data!C93</f>
        <v>529.13993430000005</v>
      </c>
    </row>
    <row r="94" spans="1:6" thickTop="1" thickBot="1" x14ac:dyDescent="0.35">
      <c r="A94" s="5">
        <f>Raw_Data!D94</f>
        <v>44709</v>
      </c>
      <c r="B94" s="4">
        <f>YEAR(A94)</f>
        <v>2022</v>
      </c>
      <c r="C94" s="4" t="str">
        <f>TEXT(A94,"mmmm")</f>
        <v>May</v>
      </c>
      <c r="D94" s="4">
        <f>Raw_Data!A94</f>
        <v>64</v>
      </c>
      <c r="E94" s="4" t="str">
        <f>Raw_Data!B94</f>
        <v>i</v>
      </c>
      <c r="F94" s="4">
        <f>Raw_Data!C94</f>
        <v>338.6291961</v>
      </c>
    </row>
    <row r="95" spans="1:6" thickTop="1" thickBot="1" x14ac:dyDescent="0.35">
      <c r="A95" s="5">
        <f>Raw_Data!D95</f>
        <v>44811</v>
      </c>
      <c r="B95" s="4">
        <f>YEAR(A95)</f>
        <v>2022</v>
      </c>
      <c r="C95" s="4" t="str">
        <f>TEXT(A95,"mmmm")</f>
        <v>September</v>
      </c>
      <c r="D95" s="4">
        <f>Raw_Data!A95</f>
        <v>99</v>
      </c>
      <c r="E95" s="4" t="str">
        <f>Raw_Data!B95</f>
        <v>e</v>
      </c>
      <c r="F95" s="4">
        <f>Raw_Data!C95</f>
        <v>408.829545</v>
      </c>
    </row>
    <row r="96" spans="1:6" thickTop="1" thickBot="1" x14ac:dyDescent="0.35">
      <c r="A96" s="5">
        <f>Raw_Data!D96</f>
        <v>44639</v>
      </c>
      <c r="B96" s="4">
        <f>YEAR(A96)</f>
        <v>2022</v>
      </c>
      <c r="C96" s="4" t="str">
        <f>TEXT(A96,"mmmm")</f>
        <v>March</v>
      </c>
      <c r="D96" s="4">
        <f>Raw_Data!A96</f>
        <v>14</v>
      </c>
      <c r="E96" s="4" t="str">
        <f>Raw_Data!B96</f>
        <v>f</v>
      </c>
      <c r="F96" s="4">
        <f>Raw_Data!C96</f>
        <v>709.40321700000004</v>
      </c>
    </row>
    <row r="97" spans="1:6" thickTop="1" thickBot="1" x14ac:dyDescent="0.35">
      <c r="A97" s="5">
        <f>Raw_Data!D97</f>
        <v>44883</v>
      </c>
      <c r="B97" s="4">
        <f>YEAR(A97)</f>
        <v>2022</v>
      </c>
      <c r="C97" s="4" t="str">
        <f>TEXT(A97,"mmmm")</f>
        <v>November</v>
      </c>
      <c r="D97" s="4">
        <f>Raw_Data!A97</f>
        <v>93</v>
      </c>
      <c r="E97" s="4" t="str">
        <f>Raw_Data!B97</f>
        <v>f</v>
      </c>
      <c r="F97" s="4">
        <f>Raw_Data!C97</f>
        <v>556.07870869999999</v>
      </c>
    </row>
    <row r="98" spans="1:6" thickTop="1" thickBot="1" x14ac:dyDescent="0.35">
      <c r="A98" s="5">
        <f>Raw_Data!D98</f>
        <v>44678</v>
      </c>
      <c r="B98" s="4">
        <f>YEAR(A98)</f>
        <v>2022</v>
      </c>
      <c r="C98" s="4" t="str">
        <f>TEXT(A98,"mmmm")</f>
        <v>April</v>
      </c>
      <c r="D98" s="4">
        <f>Raw_Data!A98</f>
        <v>96</v>
      </c>
      <c r="E98" s="4" t="str">
        <f>Raw_Data!B98</f>
        <v>f</v>
      </c>
      <c r="F98" s="4">
        <f>Raw_Data!C98</f>
        <v>506.45298750000001</v>
      </c>
    </row>
    <row r="99" spans="1:6" thickTop="1" thickBot="1" x14ac:dyDescent="0.35">
      <c r="A99" s="5">
        <f>Raw_Data!D99</f>
        <v>44781</v>
      </c>
      <c r="B99" s="4">
        <f>YEAR(A99)</f>
        <v>2022</v>
      </c>
      <c r="C99" s="4" t="str">
        <f>TEXT(A99,"mmmm")</f>
        <v>August</v>
      </c>
      <c r="D99" s="4">
        <f>Raw_Data!A99</f>
        <v>71</v>
      </c>
      <c r="E99" s="4" t="str">
        <f>Raw_Data!B99</f>
        <v>h</v>
      </c>
      <c r="F99" s="4">
        <f>Raw_Data!C99</f>
        <v>385.86423009999999</v>
      </c>
    </row>
    <row r="100" spans="1:6" thickTop="1" thickBot="1" x14ac:dyDescent="0.35">
      <c r="A100" s="5">
        <f>Raw_Data!D100</f>
        <v>44924</v>
      </c>
      <c r="B100" s="4">
        <f>YEAR(A100)</f>
        <v>2022</v>
      </c>
      <c r="C100" s="4" t="str">
        <f>TEXT(A100,"mmmm")</f>
        <v>December</v>
      </c>
      <c r="D100" s="4">
        <f>Raw_Data!A100</f>
        <v>67</v>
      </c>
      <c r="E100" s="4" t="str">
        <f>Raw_Data!B100</f>
        <v>d</v>
      </c>
      <c r="F100" s="4">
        <f>Raw_Data!C100</f>
        <v>431.28795439999999</v>
      </c>
    </row>
    <row r="101" spans="1:6" thickTop="1" thickBot="1" x14ac:dyDescent="0.35">
      <c r="A101" s="5">
        <f>Raw_Data!D101</f>
        <v>44796</v>
      </c>
      <c r="B101" s="4">
        <f>YEAR(A101)</f>
        <v>2022</v>
      </c>
      <c r="C101" s="4" t="str">
        <f>TEXT(A101,"mmmm")</f>
        <v>August</v>
      </c>
      <c r="D101" s="4">
        <f>Raw_Data!A101</f>
        <v>23</v>
      </c>
      <c r="E101" s="4" t="str">
        <f>Raw_Data!B101</f>
        <v>h</v>
      </c>
      <c r="F101" s="4">
        <f>Raw_Data!C101</f>
        <v>402.06415809999999</v>
      </c>
    </row>
    <row r="102" spans="1:6" thickTop="1" thickBot="1" x14ac:dyDescent="0.35">
      <c r="A102" s="5">
        <f>Raw_Data!D102</f>
        <v>44750</v>
      </c>
      <c r="B102" s="4">
        <f>YEAR(A102)</f>
        <v>2022</v>
      </c>
      <c r="C102" s="4" t="str">
        <f>TEXT(A102,"mmmm")</f>
        <v>July</v>
      </c>
      <c r="D102" s="4">
        <f>Raw_Data!A102</f>
        <v>79</v>
      </c>
      <c r="E102" s="4" t="str">
        <f>Raw_Data!B102</f>
        <v>g</v>
      </c>
      <c r="F102" s="4">
        <f>Raw_Data!C102</f>
        <v>546.05189470000005</v>
      </c>
    </row>
    <row r="103" spans="1:6" thickTop="1" thickBot="1" x14ac:dyDescent="0.35">
      <c r="A103" s="5">
        <f>Raw_Data!D103</f>
        <v>44718</v>
      </c>
      <c r="B103" s="4">
        <f>YEAR(A103)</f>
        <v>2022</v>
      </c>
      <c r="C103" s="4" t="str">
        <f>TEXT(A103,"mmmm")</f>
        <v>June</v>
      </c>
      <c r="D103" s="4">
        <f>Raw_Data!A103</f>
        <v>85</v>
      </c>
      <c r="E103" s="4" t="str">
        <f>Raw_Data!B103</f>
        <v>g</v>
      </c>
      <c r="F103" s="4">
        <f>Raw_Data!C103</f>
        <v>704.40152609999996</v>
      </c>
    </row>
    <row r="104" spans="1:6" thickTop="1" thickBot="1" x14ac:dyDescent="0.35">
      <c r="A104" s="5">
        <f>Raw_Data!D104</f>
        <v>44888</v>
      </c>
      <c r="B104" s="4">
        <f>YEAR(A104)</f>
        <v>2022</v>
      </c>
      <c r="C104" s="4" t="str">
        <f>TEXT(A104,"mmmm")</f>
        <v>November</v>
      </c>
      <c r="D104" s="4">
        <f>Raw_Data!A104</f>
        <v>37</v>
      </c>
      <c r="E104" s="4" t="str">
        <f>Raw_Data!B104</f>
        <v>e</v>
      </c>
      <c r="F104" s="4">
        <f>Raw_Data!C104</f>
        <v>657.02090050000004</v>
      </c>
    </row>
    <row r="105" spans="1:6" thickTop="1" thickBot="1" x14ac:dyDescent="0.35">
      <c r="A105" s="5">
        <f>Raw_Data!D105</f>
        <v>44840</v>
      </c>
      <c r="B105" s="4">
        <f>YEAR(A105)</f>
        <v>2022</v>
      </c>
      <c r="C105" s="4" t="str">
        <f>TEXT(A105,"mmmm")</f>
        <v>October</v>
      </c>
      <c r="D105" s="4">
        <f>Raw_Data!A105</f>
        <v>8</v>
      </c>
      <c r="E105" s="4" t="str">
        <f>Raw_Data!B105</f>
        <v>h</v>
      </c>
      <c r="F105" s="4">
        <f>Raw_Data!C105</f>
        <v>517.11902210000005</v>
      </c>
    </row>
    <row r="106" spans="1:6" thickTop="1" thickBot="1" x14ac:dyDescent="0.35">
      <c r="A106" s="5">
        <f>Raw_Data!D106</f>
        <v>44920</v>
      </c>
      <c r="B106" s="4">
        <f>YEAR(A106)</f>
        <v>2022</v>
      </c>
      <c r="C106" s="4" t="str">
        <f>TEXT(A106,"mmmm")</f>
        <v>December</v>
      </c>
      <c r="D106" s="4">
        <f>Raw_Data!A106</f>
        <v>51</v>
      </c>
      <c r="E106" s="4" t="str">
        <f>Raw_Data!B106</f>
        <v>a</v>
      </c>
      <c r="F106" s="4">
        <f>Raw_Data!C106</f>
        <v>458.99142810000001</v>
      </c>
    </row>
    <row r="107" spans="1:6" thickTop="1" thickBot="1" x14ac:dyDescent="0.35">
      <c r="A107" s="5">
        <f>Raw_Data!D107</f>
        <v>44824</v>
      </c>
      <c r="B107" s="4">
        <f>YEAR(A107)</f>
        <v>2022</v>
      </c>
      <c r="C107" s="4" t="str">
        <f>TEXT(A107,"mmmm")</f>
        <v>September</v>
      </c>
      <c r="D107" s="4">
        <f>Raw_Data!A107</f>
        <v>74</v>
      </c>
      <c r="E107" s="4" t="str">
        <f>Raw_Data!B107</f>
        <v>g</v>
      </c>
      <c r="F107" s="4">
        <f>Raw_Data!C107</f>
        <v>641.53801469999996</v>
      </c>
    </row>
    <row r="108" spans="1:6" thickTop="1" thickBot="1" x14ac:dyDescent="0.35">
      <c r="A108" s="5">
        <f>Raw_Data!D108</f>
        <v>44836</v>
      </c>
      <c r="B108" s="4">
        <f>YEAR(A108)</f>
        <v>2022</v>
      </c>
      <c r="C108" s="4" t="str">
        <f>TEXT(A108,"mmmm")</f>
        <v>October</v>
      </c>
      <c r="D108" s="4">
        <f>Raw_Data!A108</f>
        <v>50</v>
      </c>
      <c r="E108" s="4" t="str">
        <f>Raw_Data!B108</f>
        <v>j</v>
      </c>
      <c r="F108" s="4">
        <f>Raw_Data!C108</f>
        <v>621.65496759999996</v>
      </c>
    </row>
    <row r="109" spans="1:6" thickTop="1" thickBot="1" x14ac:dyDescent="0.35">
      <c r="A109" s="5">
        <f>Raw_Data!D109</f>
        <v>44912</v>
      </c>
      <c r="B109" s="4">
        <f>YEAR(A109)</f>
        <v>2022</v>
      </c>
      <c r="C109" s="4" t="str">
        <f>TEXT(A109,"mmmm")</f>
        <v>December</v>
      </c>
      <c r="D109" s="4">
        <f>Raw_Data!A109</f>
        <v>98</v>
      </c>
      <c r="E109" s="4" t="str">
        <f>Raw_Data!B109</f>
        <v>g</v>
      </c>
      <c r="F109" s="4">
        <f>Raw_Data!C109</f>
        <v>480.7723431</v>
      </c>
    </row>
    <row r="110" spans="1:6" thickTop="1" thickBot="1" x14ac:dyDescent="0.35">
      <c r="A110" s="5">
        <f>Raw_Data!D110</f>
        <v>44859</v>
      </c>
      <c r="B110" s="4">
        <f>YEAR(A110)</f>
        <v>2022</v>
      </c>
      <c r="C110" s="4" t="str">
        <f>TEXT(A110,"mmmm")</f>
        <v>October</v>
      </c>
      <c r="D110" s="4">
        <f>Raw_Data!A110</f>
        <v>74</v>
      </c>
      <c r="E110" s="4" t="str">
        <f>Raw_Data!B110</f>
        <v>e</v>
      </c>
      <c r="F110" s="4">
        <f>Raw_Data!C110</f>
        <v>679.13875280000002</v>
      </c>
    </row>
    <row r="111" spans="1:6" thickTop="1" thickBot="1" x14ac:dyDescent="0.35">
      <c r="A111" s="5">
        <f>Raw_Data!D111</f>
        <v>44737</v>
      </c>
      <c r="B111" s="4">
        <f>YEAR(A111)</f>
        <v>2022</v>
      </c>
      <c r="C111" s="4" t="str">
        <f>TEXT(A111,"mmmm")</f>
        <v>June</v>
      </c>
      <c r="D111" s="4">
        <f>Raw_Data!A111</f>
        <v>86</v>
      </c>
      <c r="E111" s="4" t="str">
        <f>Raw_Data!B111</f>
        <v>a</v>
      </c>
      <c r="F111" s="4">
        <f>Raw_Data!C111</f>
        <v>546.86512600000003</v>
      </c>
    </row>
    <row r="112" spans="1:6" thickTop="1" thickBot="1" x14ac:dyDescent="0.35">
      <c r="A112" s="5">
        <f>Raw_Data!D112</f>
        <v>44719</v>
      </c>
      <c r="B112" s="4">
        <f>YEAR(A112)</f>
        <v>2022</v>
      </c>
      <c r="C112" s="4" t="str">
        <f>TEXT(A112,"mmmm")</f>
        <v>June</v>
      </c>
      <c r="D112" s="4">
        <f>Raw_Data!A112</f>
        <v>76</v>
      </c>
      <c r="E112" s="4" t="str">
        <f>Raw_Data!B112</f>
        <v>g</v>
      </c>
      <c r="F112" s="4">
        <f>Raw_Data!C112</f>
        <v>421.51638630000002</v>
      </c>
    </row>
    <row r="113" spans="1:6" thickTop="1" thickBot="1" x14ac:dyDescent="0.35">
      <c r="A113" s="5">
        <f>Raw_Data!D113</f>
        <v>44711</v>
      </c>
      <c r="B113" s="4">
        <f>YEAR(A113)</f>
        <v>2022</v>
      </c>
      <c r="C113" s="4" t="str">
        <f>TEXT(A113,"mmmm")</f>
        <v>May</v>
      </c>
      <c r="D113" s="4">
        <f>Raw_Data!A113</f>
        <v>84</v>
      </c>
      <c r="E113" s="4" t="str">
        <f>Raw_Data!B113</f>
        <v>g</v>
      </c>
      <c r="F113" s="4">
        <f>Raw_Data!C113</f>
        <v>401.24883219999998</v>
      </c>
    </row>
    <row r="114" spans="1:6" thickTop="1" thickBot="1" x14ac:dyDescent="0.35">
      <c r="A114" s="5">
        <f>Raw_Data!D114</f>
        <v>44909</v>
      </c>
      <c r="B114" s="4">
        <f>YEAR(A114)</f>
        <v>2022</v>
      </c>
      <c r="C114" s="4" t="str">
        <f>TEXT(A114,"mmmm")</f>
        <v>December</v>
      </c>
      <c r="D114" s="4">
        <f>Raw_Data!A114</f>
        <v>46</v>
      </c>
      <c r="E114" s="4" t="str">
        <f>Raw_Data!B114</f>
        <v>c</v>
      </c>
      <c r="F114" s="4">
        <f>Raw_Data!C114</f>
        <v>429.0106533</v>
      </c>
    </row>
    <row r="115" spans="1:6" thickTop="1" thickBot="1" x14ac:dyDescent="0.35">
      <c r="A115" s="5">
        <f>Raw_Data!D115</f>
        <v>44750</v>
      </c>
      <c r="B115" s="4">
        <f>YEAR(A115)</f>
        <v>2022</v>
      </c>
      <c r="C115" s="4" t="str">
        <f>TEXT(A115,"mmmm")</f>
        <v>July</v>
      </c>
      <c r="D115" s="4">
        <f>Raw_Data!A115</f>
        <v>17</v>
      </c>
      <c r="E115" s="4" t="str">
        <f>Raw_Data!B115</f>
        <v>c</v>
      </c>
      <c r="F115" s="4">
        <f>Raw_Data!C115</f>
        <v>544.25512070000002</v>
      </c>
    </row>
    <row r="116" spans="1:6" thickTop="1" thickBot="1" x14ac:dyDescent="0.35">
      <c r="A116" s="5">
        <f>Raw_Data!D116</f>
        <v>44562</v>
      </c>
      <c r="B116" s="4">
        <f>YEAR(A116)</f>
        <v>2022</v>
      </c>
      <c r="C116" s="4" t="str">
        <f>TEXT(A116,"mmmm")</f>
        <v>January</v>
      </c>
      <c r="D116" s="4">
        <f>Raw_Data!A116</f>
        <v>62</v>
      </c>
      <c r="E116" s="4" t="str">
        <f>Raw_Data!B116</f>
        <v>i</v>
      </c>
      <c r="F116" s="4">
        <f>Raw_Data!C116</f>
        <v>456.77976589999997</v>
      </c>
    </row>
    <row r="117" spans="1:6" thickTop="1" thickBot="1" x14ac:dyDescent="0.35">
      <c r="A117" s="5">
        <f>Raw_Data!D117</f>
        <v>44909</v>
      </c>
      <c r="B117" s="4">
        <f>YEAR(A117)</f>
        <v>2022</v>
      </c>
      <c r="C117" s="4" t="str">
        <f>TEXT(A117,"mmmm")</f>
        <v>December</v>
      </c>
      <c r="D117" s="4">
        <f>Raw_Data!A117</f>
        <v>46</v>
      </c>
      <c r="E117" s="4" t="str">
        <f>Raw_Data!B117</f>
        <v>a</v>
      </c>
      <c r="F117" s="4">
        <f>Raw_Data!C117</f>
        <v>450.41177110000001</v>
      </c>
    </row>
    <row r="118" spans="1:6" thickTop="1" thickBot="1" x14ac:dyDescent="0.35">
      <c r="A118" s="5">
        <f>Raw_Data!D118</f>
        <v>44562</v>
      </c>
      <c r="B118" s="4">
        <f>YEAR(A118)</f>
        <v>2022</v>
      </c>
      <c r="C118" s="4" t="str">
        <f>TEXT(A118,"mmmm")</f>
        <v>January</v>
      </c>
      <c r="D118" s="4">
        <f>Raw_Data!A118</f>
        <v>54</v>
      </c>
      <c r="E118" s="4" t="str">
        <f>Raw_Data!B118</f>
        <v>i</v>
      </c>
      <c r="F118" s="4">
        <f>Raw_Data!C118</f>
        <v>383.98955169999999</v>
      </c>
    </row>
    <row r="119" spans="1:6" thickTop="1" thickBot="1" x14ac:dyDescent="0.35">
      <c r="A119" s="5">
        <f>Raw_Data!D119</f>
        <v>44869</v>
      </c>
      <c r="B119" s="4">
        <f>YEAR(A119)</f>
        <v>2022</v>
      </c>
      <c r="C119" s="4" t="str">
        <f>TEXT(A119,"mmmm")</f>
        <v>November</v>
      </c>
      <c r="D119" s="4">
        <f>Raw_Data!A119</f>
        <v>35</v>
      </c>
      <c r="E119" s="4" t="str">
        <f>Raw_Data!B119</f>
        <v>g</v>
      </c>
      <c r="F119" s="4">
        <f>Raw_Data!C119</f>
        <v>643.00846179999996</v>
      </c>
    </row>
    <row r="120" spans="1:6" thickTop="1" thickBot="1" x14ac:dyDescent="0.35">
      <c r="A120" s="5">
        <f>Raw_Data!D120</f>
        <v>44790</v>
      </c>
      <c r="B120" s="4">
        <f>YEAR(A120)</f>
        <v>2022</v>
      </c>
      <c r="C120" s="4" t="str">
        <f>TEXT(A120,"mmmm")</f>
        <v>August</v>
      </c>
      <c r="D120" s="4">
        <f>Raw_Data!A120</f>
        <v>94</v>
      </c>
      <c r="E120" s="4" t="str">
        <f>Raw_Data!B120</f>
        <v>f</v>
      </c>
      <c r="F120" s="4">
        <f>Raw_Data!C120</f>
        <v>500.36475259999997</v>
      </c>
    </row>
    <row r="121" spans="1:6" thickTop="1" thickBot="1" x14ac:dyDescent="0.35">
      <c r="A121" s="5">
        <f>Raw_Data!D121</f>
        <v>44898</v>
      </c>
      <c r="B121" s="4">
        <f>YEAR(A121)</f>
        <v>2022</v>
      </c>
      <c r="C121" s="4" t="str">
        <f>TEXT(A121,"mmmm")</f>
        <v>December</v>
      </c>
      <c r="D121" s="4">
        <f>Raw_Data!A121</f>
        <v>79</v>
      </c>
      <c r="E121" s="4" t="str">
        <f>Raw_Data!B121</f>
        <v>a</v>
      </c>
      <c r="F121" s="4">
        <f>Raw_Data!C121</f>
        <v>598.5975148</v>
      </c>
    </row>
    <row r="122" spans="1:6" thickTop="1" thickBot="1" x14ac:dyDescent="0.35">
      <c r="A122" s="5">
        <f>Raw_Data!D122</f>
        <v>44562</v>
      </c>
      <c r="B122" s="4">
        <f>YEAR(A122)</f>
        <v>2022</v>
      </c>
      <c r="C122" s="4" t="str">
        <f>TEXT(A122,"mmmm")</f>
        <v>January</v>
      </c>
      <c r="D122" s="4">
        <f>Raw_Data!A122</f>
        <v>24</v>
      </c>
      <c r="E122" s="4" t="str">
        <f>Raw_Data!B122</f>
        <v>h</v>
      </c>
      <c r="F122" s="4">
        <f>Raw_Data!C122</f>
        <v>429.96362679999999</v>
      </c>
    </row>
    <row r="123" spans="1:6" thickTop="1" thickBot="1" x14ac:dyDescent="0.35">
      <c r="A123" s="5">
        <f>Raw_Data!D123</f>
        <v>44772</v>
      </c>
      <c r="B123" s="4">
        <f>YEAR(A123)</f>
        <v>2022</v>
      </c>
      <c r="C123" s="4" t="str">
        <f>TEXT(A123,"mmmm")</f>
        <v>July</v>
      </c>
      <c r="D123" s="4">
        <f>Raw_Data!A123</f>
        <v>87</v>
      </c>
      <c r="E123" s="4" t="str">
        <f>Raw_Data!B123</f>
        <v>e</v>
      </c>
      <c r="F123" s="4">
        <f>Raw_Data!C123</f>
        <v>390.84504509999999</v>
      </c>
    </row>
    <row r="124" spans="1:6" thickTop="1" thickBot="1" x14ac:dyDescent="0.35">
      <c r="A124" s="5">
        <f>Raw_Data!D124</f>
        <v>44627</v>
      </c>
      <c r="B124" s="4">
        <f>YEAR(A124)</f>
        <v>2022</v>
      </c>
      <c r="C124" s="4" t="str">
        <f>TEXT(A124,"mmmm")</f>
        <v>March</v>
      </c>
      <c r="D124" s="4">
        <f>Raw_Data!A124</f>
        <v>7</v>
      </c>
      <c r="E124" s="4" t="str">
        <f>Raw_Data!B124</f>
        <v>j</v>
      </c>
      <c r="F124" s="4">
        <f>Raw_Data!C124</f>
        <v>368.16043280000002</v>
      </c>
    </row>
    <row r="125" spans="1:6" thickTop="1" thickBot="1" x14ac:dyDescent="0.35">
      <c r="A125" s="5">
        <f>Raw_Data!D125</f>
        <v>44721</v>
      </c>
      <c r="B125" s="4">
        <f>YEAR(A125)</f>
        <v>2022</v>
      </c>
      <c r="C125" s="4" t="str">
        <f>TEXT(A125,"mmmm")</f>
        <v>June</v>
      </c>
      <c r="D125" s="4">
        <f>Raw_Data!A125</f>
        <v>93</v>
      </c>
      <c r="E125" s="4" t="str">
        <f>Raw_Data!B125</f>
        <v>i</v>
      </c>
      <c r="F125" s="4">
        <f>Raw_Data!C125</f>
        <v>545.85055290000003</v>
      </c>
    </row>
    <row r="126" spans="1:6" thickTop="1" thickBot="1" x14ac:dyDescent="0.35">
      <c r="A126" s="5">
        <f>Raw_Data!D126</f>
        <v>44626</v>
      </c>
      <c r="B126" s="4">
        <f>YEAR(A126)</f>
        <v>2022</v>
      </c>
      <c r="C126" s="4" t="str">
        <f>TEXT(A126,"mmmm")</f>
        <v>March</v>
      </c>
      <c r="D126" s="4">
        <f>Raw_Data!A126</f>
        <v>79</v>
      </c>
      <c r="E126" s="4" t="str">
        <f>Raw_Data!B126</f>
        <v>e</v>
      </c>
      <c r="F126" s="4">
        <f>Raw_Data!C126</f>
        <v>473.34777350000002</v>
      </c>
    </row>
    <row r="127" spans="1:6" thickTop="1" thickBot="1" x14ac:dyDescent="0.35">
      <c r="A127" s="5">
        <f>Raw_Data!D127</f>
        <v>44826</v>
      </c>
      <c r="B127" s="4">
        <f>YEAR(A127)</f>
        <v>2022</v>
      </c>
      <c r="C127" s="4" t="str">
        <f>TEXT(A127,"mmmm")</f>
        <v>September</v>
      </c>
      <c r="D127" s="4">
        <f>Raw_Data!A127</f>
        <v>23</v>
      </c>
      <c r="E127" s="4" t="str">
        <f>Raw_Data!B127</f>
        <v>c</v>
      </c>
      <c r="F127" s="4">
        <f>Raw_Data!C127</f>
        <v>425.56113399999998</v>
      </c>
    </row>
    <row r="128" spans="1:6" thickTop="1" thickBot="1" x14ac:dyDescent="0.35">
      <c r="A128" s="5">
        <f>Raw_Data!D128</f>
        <v>44563</v>
      </c>
      <c r="B128" s="4">
        <f>YEAR(A128)</f>
        <v>2022</v>
      </c>
      <c r="C128" s="4" t="str">
        <f>TEXT(A128,"mmmm")</f>
        <v>January</v>
      </c>
      <c r="D128" s="4">
        <f>Raw_Data!A128</f>
        <v>26</v>
      </c>
      <c r="E128" s="4" t="str">
        <f>Raw_Data!B128</f>
        <v>a</v>
      </c>
      <c r="F128" s="4">
        <f>Raw_Data!C128</f>
        <v>576.62119919999998</v>
      </c>
    </row>
    <row r="129" spans="1:6" thickTop="1" thickBot="1" x14ac:dyDescent="0.35">
      <c r="A129" s="5">
        <f>Raw_Data!D129</f>
        <v>44618</v>
      </c>
      <c r="B129" s="4">
        <f>YEAR(A129)</f>
        <v>2022</v>
      </c>
      <c r="C129" s="4" t="str">
        <f>TEXT(A129,"mmmm")</f>
        <v>February</v>
      </c>
      <c r="D129" s="4">
        <f>Raw_Data!A129</f>
        <v>32</v>
      </c>
      <c r="E129" s="4" t="str">
        <f>Raw_Data!B129</f>
        <v>f</v>
      </c>
      <c r="F129" s="4">
        <f>Raw_Data!C129</f>
        <v>502.78514230000002</v>
      </c>
    </row>
    <row r="130" spans="1:6" thickTop="1" thickBot="1" x14ac:dyDescent="0.35">
      <c r="A130" s="5">
        <f>Raw_Data!D130</f>
        <v>44751</v>
      </c>
      <c r="B130" s="4">
        <f>YEAR(A130)</f>
        <v>2022</v>
      </c>
      <c r="C130" s="4" t="str">
        <f>TEXT(A130,"mmmm")</f>
        <v>July</v>
      </c>
      <c r="D130" s="4">
        <f>Raw_Data!A130</f>
        <v>7</v>
      </c>
      <c r="E130" s="4" t="str">
        <f>Raw_Data!B130</f>
        <v>d</v>
      </c>
      <c r="F130" s="4">
        <f>Raw_Data!C130</f>
        <v>411.3571384</v>
      </c>
    </row>
    <row r="131" spans="1:6" thickTop="1" thickBot="1" x14ac:dyDescent="0.35">
      <c r="A131" s="5">
        <f>Raw_Data!D131</f>
        <v>44926</v>
      </c>
      <c r="B131" s="4">
        <f>YEAR(A131)</f>
        <v>2022</v>
      </c>
      <c r="C131" s="4" t="str">
        <f>TEXT(A131,"mmmm")</f>
        <v>December</v>
      </c>
      <c r="D131" s="4">
        <f>Raw_Data!A131</f>
        <v>27</v>
      </c>
      <c r="E131" s="4" t="str">
        <f>Raw_Data!B131</f>
        <v>h</v>
      </c>
      <c r="F131" s="4">
        <f>Raw_Data!C131</f>
        <v>323.45190669999999</v>
      </c>
    </row>
    <row r="132" spans="1:6" thickTop="1" thickBot="1" x14ac:dyDescent="0.35">
      <c r="A132" s="5">
        <f>Raw_Data!D132</f>
        <v>44627</v>
      </c>
      <c r="B132" s="4">
        <f>YEAR(A132)</f>
        <v>2022</v>
      </c>
      <c r="C132" s="4" t="str">
        <f>TEXT(A132,"mmmm")</f>
        <v>March</v>
      </c>
      <c r="D132" s="4">
        <f>Raw_Data!A132</f>
        <v>42</v>
      </c>
      <c r="E132" s="4" t="str">
        <f>Raw_Data!B132</f>
        <v>i</v>
      </c>
      <c r="F132" s="4">
        <f>Raw_Data!C132</f>
        <v>593.04768890000003</v>
      </c>
    </row>
    <row r="133" spans="1:6" thickTop="1" thickBot="1" x14ac:dyDescent="0.35">
      <c r="A133" s="5">
        <f>Raw_Data!D133</f>
        <v>44587</v>
      </c>
      <c r="B133" s="4">
        <f>YEAR(A133)</f>
        <v>2022</v>
      </c>
      <c r="C133" s="4" t="str">
        <f>TEXT(A133,"mmmm")</f>
        <v>January</v>
      </c>
      <c r="D133" s="4">
        <f>Raw_Data!A133</f>
        <v>5</v>
      </c>
      <c r="E133" s="4" t="str">
        <f>Raw_Data!B133</f>
        <v>i</v>
      </c>
      <c r="F133" s="4">
        <f>Raw_Data!C133</f>
        <v>285.78775730000001</v>
      </c>
    </row>
    <row r="134" spans="1:6" thickTop="1" thickBot="1" x14ac:dyDescent="0.35">
      <c r="A134" s="5">
        <f>Raw_Data!D134</f>
        <v>44773</v>
      </c>
      <c r="B134" s="4">
        <f>YEAR(A134)</f>
        <v>2022</v>
      </c>
      <c r="C134" s="4" t="str">
        <f>TEXT(A134,"mmmm")</f>
        <v>July</v>
      </c>
      <c r="D134" s="4">
        <f>Raw_Data!A134</f>
        <v>70</v>
      </c>
      <c r="E134" s="4" t="str">
        <f>Raw_Data!B134</f>
        <v>h</v>
      </c>
      <c r="F134" s="4">
        <f>Raw_Data!C134</f>
        <v>364.52379639999998</v>
      </c>
    </row>
    <row r="135" spans="1:6" thickTop="1" thickBot="1" x14ac:dyDescent="0.35">
      <c r="A135" s="5">
        <f>Raw_Data!D135</f>
        <v>44680</v>
      </c>
      <c r="B135" s="4">
        <f>YEAR(A135)</f>
        <v>2022</v>
      </c>
      <c r="C135" s="4" t="str">
        <f>TEXT(A135,"mmmm")</f>
        <v>April</v>
      </c>
      <c r="D135" s="4">
        <f>Raw_Data!A135</f>
        <v>16</v>
      </c>
      <c r="E135" s="4" t="str">
        <f>Raw_Data!B135</f>
        <v>g</v>
      </c>
      <c r="F135" s="4">
        <f>Raw_Data!C135</f>
        <v>597.81834749999996</v>
      </c>
    </row>
    <row r="136" spans="1:6" thickTop="1" thickBot="1" x14ac:dyDescent="0.35">
      <c r="A136" s="5">
        <f>Raw_Data!D136</f>
        <v>44687</v>
      </c>
      <c r="B136" s="4">
        <f>YEAR(A136)</f>
        <v>2022</v>
      </c>
      <c r="C136" s="4" t="str">
        <f>TEXT(A136,"mmmm")</f>
        <v>May</v>
      </c>
      <c r="D136" s="4">
        <f>Raw_Data!A136</f>
        <v>24</v>
      </c>
      <c r="E136" s="4" t="str">
        <f>Raw_Data!B136</f>
        <v>d</v>
      </c>
      <c r="F136" s="4">
        <f>Raw_Data!C136</f>
        <v>604.87851709999995</v>
      </c>
    </row>
    <row r="137" spans="1:6" thickTop="1" thickBot="1" x14ac:dyDescent="0.35">
      <c r="A137" s="5">
        <f>Raw_Data!D137</f>
        <v>44773</v>
      </c>
      <c r="B137" s="4">
        <f>YEAR(A137)</f>
        <v>2022</v>
      </c>
      <c r="C137" s="4" t="str">
        <f>TEXT(A137,"mmmm")</f>
        <v>July</v>
      </c>
      <c r="D137" s="4">
        <f>Raw_Data!A137</f>
        <v>32</v>
      </c>
      <c r="E137" s="4" t="str">
        <f>Raw_Data!B137</f>
        <v>h</v>
      </c>
      <c r="F137" s="4">
        <f>Raw_Data!C137</f>
        <v>458.66836039999998</v>
      </c>
    </row>
    <row r="138" spans="1:6" thickTop="1" thickBot="1" x14ac:dyDescent="0.35">
      <c r="A138" s="5">
        <f>Raw_Data!D138</f>
        <v>44926</v>
      </c>
      <c r="B138" s="4">
        <f>YEAR(A138)</f>
        <v>2022</v>
      </c>
      <c r="C138" s="4" t="str">
        <f>TEXT(A138,"mmmm")</f>
        <v>December</v>
      </c>
      <c r="D138" s="4">
        <f>Raw_Data!A138</f>
        <v>21</v>
      </c>
      <c r="E138" s="4" t="str">
        <f>Raw_Data!B138</f>
        <v>e</v>
      </c>
      <c r="F138" s="4">
        <f>Raw_Data!C138</f>
        <v>535.63749640000003</v>
      </c>
    </row>
    <row r="139" spans="1:6" thickTop="1" thickBot="1" x14ac:dyDescent="0.35">
      <c r="A139" s="5">
        <f>Raw_Data!D139</f>
        <v>44625</v>
      </c>
      <c r="B139" s="4">
        <f>YEAR(A139)</f>
        <v>2022</v>
      </c>
      <c r="C139" s="4" t="str">
        <f>TEXT(A139,"mmmm")</f>
        <v>March</v>
      </c>
      <c r="D139" s="4">
        <f>Raw_Data!A139</f>
        <v>55</v>
      </c>
      <c r="E139" s="4" t="str">
        <f>Raw_Data!B139</f>
        <v>a</v>
      </c>
      <c r="F139" s="4">
        <f>Raw_Data!C139</f>
        <v>450.73249449999997</v>
      </c>
    </row>
    <row r="140" spans="1:6" thickTop="1" thickBot="1" x14ac:dyDescent="0.35">
      <c r="A140" s="5">
        <f>Raw_Data!D140</f>
        <v>44620</v>
      </c>
      <c r="B140" s="4">
        <f>YEAR(A140)</f>
        <v>2022</v>
      </c>
      <c r="C140" s="4" t="str">
        <f>TEXT(A140,"mmmm")</f>
        <v>February</v>
      </c>
      <c r="D140" s="4">
        <f>Raw_Data!A140</f>
        <v>75</v>
      </c>
      <c r="E140" s="4" t="str">
        <f>Raw_Data!B140</f>
        <v>a</v>
      </c>
      <c r="F140" s="4">
        <f>Raw_Data!C140</f>
        <v>570.37194290000002</v>
      </c>
    </row>
    <row r="141" spans="1:6" thickTop="1" thickBot="1" x14ac:dyDescent="0.35">
      <c r="A141" s="5">
        <f>Raw_Data!D141</f>
        <v>44752</v>
      </c>
      <c r="B141" s="4">
        <f>YEAR(A141)</f>
        <v>2022</v>
      </c>
      <c r="C141" s="4" t="str">
        <f>TEXT(A141,"mmmm")</f>
        <v>July</v>
      </c>
      <c r="D141" s="4">
        <f>Raw_Data!A141</f>
        <v>36</v>
      </c>
      <c r="E141" s="4" t="str">
        <f>Raw_Data!B141</f>
        <v>e</v>
      </c>
      <c r="F141" s="4">
        <f>Raw_Data!C141</f>
        <v>548.95881110000005</v>
      </c>
    </row>
    <row r="142" spans="1:6" thickTop="1" thickBot="1" x14ac:dyDescent="0.35">
      <c r="A142" s="5">
        <f>Raw_Data!D142</f>
        <v>44606</v>
      </c>
      <c r="B142" s="4">
        <f>YEAR(A142)</f>
        <v>2022</v>
      </c>
      <c r="C142" s="4" t="str">
        <f>TEXT(A142,"mmmm")</f>
        <v>February</v>
      </c>
      <c r="D142" s="4">
        <f>Raw_Data!A142</f>
        <v>83</v>
      </c>
      <c r="E142" s="4" t="str">
        <f>Raw_Data!B142</f>
        <v>c</v>
      </c>
      <c r="F142" s="4">
        <f>Raw_Data!C142</f>
        <v>632.09852820000003</v>
      </c>
    </row>
    <row r="143" spans="1:6" thickTop="1" thickBot="1" x14ac:dyDescent="0.35">
      <c r="A143" s="5">
        <f>Raw_Data!D143</f>
        <v>44762</v>
      </c>
      <c r="B143" s="4">
        <f>YEAR(A143)</f>
        <v>2022</v>
      </c>
      <c r="C143" s="4" t="str">
        <f>TEXT(A143,"mmmm")</f>
        <v>July</v>
      </c>
      <c r="D143" s="4">
        <f>Raw_Data!A143</f>
        <v>89</v>
      </c>
      <c r="E143" s="4" t="str">
        <f>Raw_Data!B143</f>
        <v>d</v>
      </c>
      <c r="F143" s="4">
        <f>Raw_Data!C143</f>
        <v>572.60442499999999</v>
      </c>
    </row>
    <row r="144" spans="1:6" thickTop="1" thickBot="1" x14ac:dyDescent="0.35">
      <c r="A144" s="5">
        <f>Raw_Data!D144</f>
        <v>44637</v>
      </c>
      <c r="B144" s="4">
        <f>YEAR(A144)</f>
        <v>2022</v>
      </c>
      <c r="C144" s="4" t="str">
        <f>TEXT(A144,"mmmm")</f>
        <v>March</v>
      </c>
      <c r="D144" s="4">
        <f>Raw_Data!A144</f>
        <v>39</v>
      </c>
      <c r="E144" s="4" t="str">
        <f>Raw_Data!B144</f>
        <v>c</v>
      </c>
      <c r="F144" s="4">
        <f>Raw_Data!C144</f>
        <v>505.66901250000001</v>
      </c>
    </row>
    <row r="145" spans="1:6" thickTop="1" thickBot="1" x14ac:dyDescent="0.35">
      <c r="A145" s="5">
        <f>Raw_Data!D145</f>
        <v>44724</v>
      </c>
      <c r="B145" s="4">
        <f>YEAR(A145)</f>
        <v>2022</v>
      </c>
      <c r="C145" s="4" t="str">
        <f>TEXT(A145,"mmmm")</f>
        <v>June</v>
      </c>
      <c r="D145" s="4">
        <f>Raw_Data!A145</f>
        <v>54</v>
      </c>
      <c r="E145" s="4" t="str">
        <f>Raw_Data!B145</f>
        <v>b</v>
      </c>
      <c r="F145" s="4">
        <f>Raw_Data!C145</f>
        <v>418.47184060000001</v>
      </c>
    </row>
    <row r="146" spans="1:6" thickTop="1" thickBot="1" x14ac:dyDescent="0.35">
      <c r="A146" s="5">
        <f>Raw_Data!D146</f>
        <v>44919</v>
      </c>
      <c r="B146" s="4">
        <f>YEAR(A146)</f>
        <v>2022</v>
      </c>
      <c r="C146" s="4" t="str">
        <f>TEXT(A146,"mmmm")</f>
        <v>December</v>
      </c>
      <c r="D146" s="4">
        <f>Raw_Data!A146</f>
        <v>90</v>
      </c>
      <c r="E146" s="4" t="str">
        <f>Raw_Data!B146</f>
        <v>j</v>
      </c>
      <c r="F146" s="4">
        <f>Raw_Data!C146</f>
        <v>510.6438516</v>
      </c>
    </row>
    <row r="147" spans="1:6" thickTop="1" thickBot="1" x14ac:dyDescent="0.35">
      <c r="A147" s="5">
        <f>Raw_Data!D147</f>
        <v>44781</v>
      </c>
      <c r="B147" s="4">
        <f>YEAR(A147)</f>
        <v>2022</v>
      </c>
      <c r="C147" s="4" t="str">
        <f>TEXT(A147,"mmmm")</f>
        <v>August</v>
      </c>
      <c r="D147" s="4">
        <f>Raw_Data!A147</f>
        <v>9</v>
      </c>
      <c r="E147" s="4" t="str">
        <f>Raw_Data!B147</f>
        <v>c</v>
      </c>
      <c r="F147" s="4">
        <f>Raw_Data!C147</f>
        <v>456.9270214</v>
      </c>
    </row>
    <row r="148" spans="1:6" thickTop="1" thickBot="1" x14ac:dyDescent="0.35">
      <c r="A148" s="5">
        <f>Raw_Data!D148</f>
        <v>44591</v>
      </c>
      <c r="B148" s="4">
        <f>YEAR(A148)</f>
        <v>2022</v>
      </c>
      <c r="C148" s="4" t="str">
        <f>TEXT(A148,"mmmm")</f>
        <v>January</v>
      </c>
      <c r="D148" s="4">
        <f>Raw_Data!A148</f>
        <v>71</v>
      </c>
      <c r="E148" s="4" t="str">
        <f>Raw_Data!B148</f>
        <v>j</v>
      </c>
      <c r="F148" s="4">
        <f>Raw_Data!C148</f>
        <v>480.76729970000002</v>
      </c>
    </row>
    <row r="149" spans="1:6" thickTop="1" thickBot="1" x14ac:dyDescent="0.35">
      <c r="A149" s="5">
        <f>Raw_Data!D149</f>
        <v>44847</v>
      </c>
      <c r="B149" s="4">
        <f>YEAR(A149)</f>
        <v>2022</v>
      </c>
      <c r="C149" s="4" t="str">
        <f>TEXT(A149,"mmmm")</f>
        <v>October</v>
      </c>
      <c r="D149" s="4">
        <f>Raw_Data!A149</f>
        <v>98</v>
      </c>
      <c r="E149" s="4" t="str">
        <f>Raw_Data!B149</f>
        <v>e</v>
      </c>
      <c r="F149" s="4">
        <f>Raw_Data!C149</f>
        <v>532.15155819999995</v>
      </c>
    </row>
    <row r="150" spans="1:6" thickTop="1" thickBot="1" x14ac:dyDescent="0.35">
      <c r="A150" s="5">
        <f>Raw_Data!D150</f>
        <v>44648</v>
      </c>
      <c r="B150" s="4">
        <f>YEAR(A150)</f>
        <v>2022</v>
      </c>
      <c r="C150" s="4" t="str">
        <f>TEXT(A150,"mmmm")</f>
        <v>March</v>
      </c>
      <c r="D150" s="4">
        <f>Raw_Data!A150</f>
        <v>48</v>
      </c>
      <c r="E150" s="4" t="str">
        <f>Raw_Data!B150</f>
        <v>h</v>
      </c>
      <c r="F150" s="4">
        <f>Raw_Data!C150</f>
        <v>527.02987580000001</v>
      </c>
    </row>
    <row r="151" spans="1:6" thickTop="1" thickBot="1" x14ac:dyDescent="0.35">
      <c r="A151" s="5">
        <f>Raw_Data!D151</f>
        <v>44673</v>
      </c>
      <c r="B151" s="4">
        <f>YEAR(A151)</f>
        <v>2022</v>
      </c>
      <c r="C151" s="4" t="str">
        <f>TEXT(A151,"mmmm")</f>
        <v>April</v>
      </c>
      <c r="D151" s="4">
        <f>Raw_Data!A151</f>
        <v>77</v>
      </c>
      <c r="E151" s="4" t="str">
        <f>Raw_Data!B151</f>
        <v>a</v>
      </c>
      <c r="F151" s="4">
        <f>Raw_Data!C151</f>
        <v>328.98495639999999</v>
      </c>
    </row>
    <row r="152" spans="1:6" thickTop="1" thickBot="1" x14ac:dyDescent="0.35">
      <c r="A152" s="5">
        <f>Raw_Data!D152</f>
        <v>44852</v>
      </c>
      <c r="B152" s="4">
        <f>YEAR(A152)</f>
        <v>2022</v>
      </c>
      <c r="C152" s="4" t="str">
        <f>TEXT(A152,"mmmm")</f>
        <v>October</v>
      </c>
      <c r="D152" s="4">
        <f>Raw_Data!A152</f>
        <v>83</v>
      </c>
      <c r="E152" s="4" t="str">
        <f>Raw_Data!B152</f>
        <v>e</v>
      </c>
      <c r="F152" s="4">
        <f>Raw_Data!C152</f>
        <v>532.27588079999998</v>
      </c>
    </row>
    <row r="153" spans="1:6" thickTop="1" thickBot="1" x14ac:dyDescent="0.35">
      <c r="A153" s="5">
        <f>Raw_Data!D153</f>
        <v>44904</v>
      </c>
      <c r="B153" s="4">
        <f>YEAR(A153)</f>
        <v>2022</v>
      </c>
      <c r="C153" s="4" t="str">
        <f>TEXT(A153,"mmmm")</f>
        <v>December</v>
      </c>
      <c r="D153" s="4">
        <f>Raw_Data!A153</f>
        <v>56</v>
      </c>
      <c r="E153" s="4" t="str">
        <f>Raw_Data!B153</f>
        <v>c</v>
      </c>
      <c r="F153" s="4">
        <f>Raw_Data!C153</f>
        <v>473.90995290000001</v>
      </c>
    </row>
    <row r="154" spans="1:6" thickTop="1" thickBot="1" x14ac:dyDescent="0.35">
      <c r="A154" s="5">
        <f>Raw_Data!D154</f>
        <v>44767</v>
      </c>
      <c r="B154" s="4">
        <f>YEAR(A154)</f>
        <v>2022</v>
      </c>
      <c r="C154" s="4" t="str">
        <f>TEXT(A154,"mmmm")</f>
        <v>July</v>
      </c>
      <c r="D154" s="4">
        <f>Raw_Data!A154</f>
        <v>39</v>
      </c>
      <c r="E154" s="4" t="str">
        <f>Raw_Data!B154</f>
        <v>f</v>
      </c>
      <c r="F154" s="4">
        <f>Raw_Data!C154</f>
        <v>469.03084999999999</v>
      </c>
    </row>
    <row r="155" spans="1:6" thickTop="1" thickBot="1" x14ac:dyDescent="0.35">
      <c r="A155" s="5">
        <f>Raw_Data!D155</f>
        <v>44738</v>
      </c>
      <c r="B155" s="4">
        <f>YEAR(A155)</f>
        <v>2022</v>
      </c>
      <c r="C155" s="4" t="str">
        <f>TEXT(A155,"mmmm")</f>
        <v>June</v>
      </c>
      <c r="D155" s="4">
        <f>Raw_Data!A155</f>
        <v>68</v>
      </c>
      <c r="E155" s="4" t="str">
        <f>Raw_Data!B155</f>
        <v>b</v>
      </c>
      <c r="F155" s="4">
        <f>Raw_Data!C155</f>
        <v>255.41999039999999</v>
      </c>
    </row>
    <row r="156" spans="1:6" thickTop="1" thickBot="1" x14ac:dyDescent="0.35">
      <c r="A156" s="5">
        <f>Raw_Data!D156</f>
        <v>44922</v>
      </c>
      <c r="B156" s="4">
        <f>YEAR(A156)</f>
        <v>2022</v>
      </c>
      <c r="C156" s="4" t="str">
        <f>TEXT(A156,"mmmm")</f>
        <v>December</v>
      </c>
      <c r="D156" s="4">
        <f>Raw_Data!A156</f>
        <v>1</v>
      </c>
      <c r="E156" s="4" t="str">
        <f>Raw_Data!B156</f>
        <v>a</v>
      </c>
      <c r="F156" s="4">
        <f>Raw_Data!C156</f>
        <v>355.29680919999998</v>
      </c>
    </row>
    <row r="157" spans="1:6" thickTop="1" thickBot="1" x14ac:dyDescent="0.35">
      <c r="A157" s="5">
        <f>Raw_Data!D157</f>
        <v>44676</v>
      </c>
      <c r="B157" s="4">
        <f>YEAR(A157)</f>
        <v>2022</v>
      </c>
      <c r="C157" s="4" t="str">
        <f>TEXT(A157,"mmmm")</f>
        <v>April</v>
      </c>
      <c r="D157" s="4">
        <f>Raw_Data!A157</f>
        <v>40</v>
      </c>
      <c r="E157" s="4" t="str">
        <f>Raw_Data!B157</f>
        <v>g</v>
      </c>
      <c r="F157" s="4">
        <f>Raw_Data!C157</f>
        <v>521.73778010000001</v>
      </c>
    </row>
    <row r="158" spans="1:6" thickTop="1" thickBot="1" x14ac:dyDescent="0.35">
      <c r="A158" s="5">
        <f>Raw_Data!D158</f>
        <v>44848</v>
      </c>
      <c r="B158" s="4">
        <f>YEAR(A158)</f>
        <v>2022</v>
      </c>
      <c r="C158" s="4" t="str">
        <f>TEXT(A158,"mmmm")</f>
        <v>October</v>
      </c>
      <c r="D158" s="4">
        <f>Raw_Data!A158</f>
        <v>30</v>
      </c>
      <c r="E158" s="4" t="str">
        <f>Raw_Data!B158</f>
        <v>a</v>
      </c>
      <c r="F158" s="4">
        <f>Raw_Data!C158</f>
        <v>556.55723179999995</v>
      </c>
    </row>
    <row r="159" spans="1:6" thickTop="1" thickBot="1" x14ac:dyDescent="0.35">
      <c r="A159" s="5">
        <f>Raw_Data!D159</f>
        <v>44847</v>
      </c>
      <c r="B159" s="4">
        <f>YEAR(A159)</f>
        <v>2022</v>
      </c>
      <c r="C159" s="4" t="str">
        <f>TEXT(A159,"mmmm")</f>
        <v>October</v>
      </c>
      <c r="D159" s="4">
        <f>Raw_Data!A159</f>
        <v>94</v>
      </c>
      <c r="E159" s="4" t="str">
        <f>Raw_Data!B159</f>
        <v>h</v>
      </c>
      <c r="F159" s="4">
        <f>Raw_Data!C159</f>
        <v>544.96360530000004</v>
      </c>
    </row>
    <row r="160" spans="1:6" thickTop="1" thickBot="1" x14ac:dyDescent="0.35">
      <c r="A160" s="5">
        <f>Raw_Data!D160</f>
        <v>44589</v>
      </c>
      <c r="B160" s="4">
        <f>YEAR(A160)</f>
        <v>2022</v>
      </c>
      <c r="C160" s="4" t="str">
        <f>TEXT(A160,"mmmm")</f>
        <v>January</v>
      </c>
      <c r="D160" s="4">
        <f>Raw_Data!A160</f>
        <v>89</v>
      </c>
      <c r="E160" s="4" t="str">
        <f>Raw_Data!B160</f>
        <v>c</v>
      </c>
      <c r="F160" s="4">
        <f>Raw_Data!C160</f>
        <v>517.90372449999995</v>
      </c>
    </row>
    <row r="161" spans="1:6" thickTop="1" thickBot="1" x14ac:dyDescent="0.35">
      <c r="A161" s="5">
        <f>Raw_Data!D161</f>
        <v>44769</v>
      </c>
      <c r="B161" s="4">
        <f>YEAR(A161)</f>
        <v>2022</v>
      </c>
      <c r="C161" s="4" t="str">
        <f>TEXT(A161,"mmmm")</f>
        <v>July</v>
      </c>
      <c r="D161" s="4">
        <f>Raw_Data!A161</f>
        <v>16</v>
      </c>
      <c r="E161" s="4" t="str">
        <f>Raw_Data!B161</f>
        <v>b</v>
      </c>
      <c r="F161" s="4">
        <f>Raw_Data!C161</f>
        <v>460.82146590000002</v>
      </c>
    </row>
    <row r="162" spans="1:6" thickTop="1" thickBot="1" x14ac:dyDescent="0.35">
      <c r="A162" s="5">
        <f>Raw_Data!D162</f>
        <v>44742</v>
      </c>
      <c r="B162" s="4">
        <f>YEAR(A162)</f>
        <v>2022</v>
      </c>
      <c r="C162" s="4" t="str">
        <f>TEXT(A162,"mmmm")</f>
        <v>June</v>
      </c>
      <c r="D162" s="4">
        <f>Raw_Data!A162</f>
        <v>88</v>
      </c>
      <c r="E162" s="4" t="str">
        <f>Raw_Data!B162</f>
        <v>j</v>
      </c>
      <c r="F162" s="4">
        <f>Raw_Data!C162</f>
        <v>507.95162260000001</v>
      </c>
    </row>
    <row r="163" spans="1:6" thickTop="1" thickBot="1" x14ac:dyDescent="0.35">
      <c r="A163" s="5">
        <f>Raw_Data!D163</f>
        <v>44583</v>
      </c>
      <c r="B163" s="4">
        <f>YEAR(A163)</f>
        <v>2022</v>
      </c>
      <c r="C163" s="4" t="str">
        <f>TEXT(A163,"mmmm")</f>
        <v>January</v>
      </c>
      <c r="D163" s="4">
        <f>Raw_Data!A163</f>
        <v>54</v>
      </c>
      <c r="E163" s="4" t="str">
        <f>Raw_Data!B163</f>
        <v>c</v>
      </c>
      <c r="F163" s="4">
        <f>Raw_Data!C163</f>
        <v>502.58875039999998</v>
      </c>
    </row>
    <row r="164" spans="1:6" thickTop="1" thickBot="1" x14ac:dyDescent="0.35">
      <c r="A164" s="5">
        <f>Raw_Data!D164</f>
        <v>44616</v>
      </c>
      <c r="B164" s="4">
        <f>YEAR(A164)</f>
        <v>2022</v>
      </c>
      <c r="C164" s="4" t="str">
        <f>TEXT(A164,"mmmm")</f>
        <v>February</v>
      </c>
      <c r="D164" s="4">
        <f>Raw_Data!A164</f>
        <v>75</v>
      </c>
      <c r="E164" s="4" t="str">
        <f>Raw_Data!B164</f>
        <v>e</v>
      </c>
      <c r="F164" s="4">
        <f>Raw_Data!C164</f>
        <v>523.83440389999998</v>
      </c>
    </row>
    <row r="165" spans="1:6" thickTop="1" thickBot="1" x14ac:dyDescent="0.35">
      <c r="A165" s="5">
        <f>Raw_Data!D165</f>
        <v>44590</v>
      </c>
      <c r="B165" s="4">
        <f>YEAR(A165)</f>
        <v>2022</v>
      </c>
      <c r="C165" s="4" t="str">
        <f>TEXT(A165,"mmmm")</f>
        <v>January</v>
      </c>
      <c r="D165" s="4">
        <f>Raw_Data!A165</f>
        <v>48</v>
      </c>
      <c r="E165" s="4" t="str">
        <f>Raw_Data!B165</f>
        <v>h</v>
      </c>
      <c r="F165" s="4">
        <f>Raw_Data!C165</f>
        <v>532.40249059999996</v>
      </c>
    </row>
    <row r="166" spans="1:6" thickTop="1" thickBot="1" x14ac:dyDescent="0.35">
      <c r="A166" s="5">
        <f>Raw_Data!D166</f>
        <v>44721</v>
      </c>
      <c r="B166" s="4">
        <f>YEAR(A166)</f>
        <v>2022</v>
      </c>
      <c r="C166" s="4" t="str">
        <f>TEXT(A166,"mmmm")</f>
        <v>June</v>
      </c>
      <c r="D166" s="4">
        <f>Raw_Data!A166</f>
        <v>20</v>
      </c>
      <c r="E166" s="4" t="str">
        <f>Raw_Data!B166</f>
        <v>a</v>
      </c>
      <c r="F166" s="4">
        <f>Raw_Data!C166</f>
        <v>516.93495370000005</v>
      </c>
    </row>
    <row r="167" spans="1:6" thickTop="1" thickBot="1" x14ac:dyDescent="0.35">
      <c r="A167" s="5">
        <f>Raw_Data!D167</f>
        <v>44757</v>
      </c>
      <c r="B167" s="4">
        <f>YEAR(A167)</f>
        <v>2022</v>
      </c>
      <c r="C167" s="4" t="str">
        <f>TEXT(A167,"mmmm")</f>
        <v>July</v>
      </c>
      <c r="D167" s="4">
        <f>Raw_Data!A167</f>
        <v>67</v>
      </c>
      <c r="E167" s="4" t="str">
        <f>Raw_Data!B167</f>
        <v>b</v>
      </c>
      <c r="F167" s="4">
        <f>Raw_Data!C167</f>
        <v>640.81317630000001</v>
      </c>
    </row>
    <row r="168" spans="1:6" thickTop="1" thickBot="1" x14ac:dyDescent="0.35">
      <c r="A168" s="5">
        <f>Raw_Data!D168</f>
        <v>44879</v>
      </c>
      <c r="B168" s="4">
        <f>YEAR(A168)</f>
        <v>2022</v>
      </c>
      <c r="C168" s="4" t="str">
        <f>TEXT(A168,"mmmm")</f>
        <v>November</v>
      </c>
      <c r="D168" s="4">
        <f>Raw_Data!A168</f>
        <v>93</v>
      </c>
      <c r="E168" s="4" t="str">
        <f>Raw_Data!B168</f>
        <v>d</v>
      </c>
      <c r="F168" s="4">
        <f>Raw_Data!C168</f>
        <v>600.99180130000002</v>
      </c>
    </row>
    <row r="169" spans="1:6" thickTop="1" thickBot="1" x14ac:dyDescent="0.35">
      <c r="A169" s="5">
        <f>Raw_Data!D169</f>
        <v>44765</v>
      </c>
      <c r="B169" s="4">
        <f>YEAR(A169)</f>
        <v>2022</v>
      </c>
      <c r="C169" s="4" t="str">
        <f>TEXT(A169,"mmmm")</f>
        <v>July</v>
      </c>
      <c r="D169" s="4">
        <f>Raw_Data!A169</f>
        <v>36</v>
      </c>
      <c r="E169" s="4" t="str">
        <f>Raw_Data!B169</f>
        <v>g</v>
      </c>
      <c r="F169" s="4">
        <f>Raw_Data!C169</f>
        <v>525.53928099999996</v>
      </c>
    </row>
    <row r="170" spans="1:6" thickTop="1" thickBot="1" x14ac:dyDescent="0.35">
      <c r="A170" s="5">
        <f>Raw_Data!D170</f>
        <v>44575</v>
      </c>
      <c r="B170" s="4">
        <f>YEAR(A170)</f>
        <v>2022</v>
      </c>
      <c r="C170" s="4" t="str">
        <f>TEXT(A170,"mmmm")</f>
        <v>January</v>
      </c>
      <c r="D170" s="4">
        <f>Raw_Data!A170</f>
        <v>52</v>
      </c>
      <c r="E170" s="4" t="str">
        <f>Raw_Data!B170</f>
        <v>e</v>
      </c>
      <c r="F170" s="4">
        <f>Raw_Data!C170</f>
        <v>566.50898889999996</v>
      </c>
    </row>
    <row r="171" spans="1:6" thickTop="1" thickBot="1" x14ac:dyDescent="0.35">
      <c r="A171" s="5">
        <f>Raw_Data!D171</f>
        <v>44807</v>
      </c>
      <c r="B171" s="4">
        <f>YEAR(A171)</f>
        <v>2022</v>
      </c>
      <c r="C171" s="4" t="str">
        <f>TEXT(A171,"mmmm")</f>
        <v>September</v>
      </c>
      <c r="D171" s="4">
        <f>Raw_Data!A171</f>
        <v>22</v>
      </c>
      <c r="E171" s="4" t="str">
        <f>Raw_Data!B171</f>
        <v>j</v>
      </c>
      <c r="F171" s="4">
        <f>Raw_Data!C171</f>
        <v>241.08617280000001</v>
      </c>
    </row>
    <row r="172" spans="1:6" thickTop="1" thickBot="1" x14ac:dyDescent="0.35">
      <c r="A172" s="5">
        <f>Raw_Data!D172</f>
        <v>44871</v>
      </c>
      <c r="B172" s="4">
        <f>YEAR(A172)</f>
        <v>2022</v>
      </c>
      <c r="C172" s="4" t="str">
        <f>TEXT(A172,"mmmm")</f>
        <v>November</v>
      </c>
      <c r="D172" s="4">
        <f>Raw_Data!A172</f>
        <v>49</v>
      </c>
      <c r="E172" s="4" t="str">
        <f>Raw_Data!B172</f>
        <v>d</v>
      </c>
      <c r="F172" s="4">
        <f>Raw_Data!C172</f>
        <v>475.60830709999999</v>
      </c>
    </row>
    <row r="173" spans="1:6" thickTop="1" thickBot="1" x14ac:dyDescent="0.35">
      <c r="A173" s="5">
        <f>Raw_Data!D173</f>
        <v>44670</v>
      </c>
      <c r="B173" s="4">
        <f>YEAR(A173)</f>
        <v>2022</v>
      </c>
      <c r="C173" s="4" t="str">
        <f>TEXT(A173,"mmmm")</f>
        <v>April</v>
      </c>
      <c r="D173" s="4">
        <f>Raw_Data!A173</f>
        <v>42</v>
      </c>
      <c r="E173" s="4" t="str">
        <f>Raw_Data!B173</f>
        <v>h</v>
      </c>
      <c r="F173" s="4">
        <f>Raw_Data!C173</f>
        <v>389.40376950000001</v>
      </c>
    </row>
    <row r="174" spans="1:6" thickTop="1" thickBot="1" x14ac:dyDescent="0.35">
      <c r="A174" s="5">
        <f>Raw_Data!D174</f>
        <v>44575</v>
      </c>
      <c r="B174" s="4">
        <f>YEAR(A174)</f>
        <v>2022</v>
      </c>
      <c r="C174" s="4" t="str">
        <f>TEXT(A174,"mmmm")</f>
        <v>January</v>
      </c>
      <c r="D174" s="4">
        <f>Raw_Data!A174</f>
        <v>59</v>
      </c>
      <c r="E174" s="4" t="str">
        <f>Raw_Data!B174</f>
        <v>a</v>
      </c>
      <c r="F174" s="4">
        <f>Raw_Data!C174</f>
        <v>628.07373689999997</v>
      </c>
    </row>
    <row r="175" spans="1:6" thickTop="1" thickBot="1" x14ac:dyDescent="0.35">
      <c r="A175" s="5">
        <f>Raw_Data!D175</f>
        <v>44835</v>
      </c>
      <c r="B175" s="4">
        <f>YEAR(A175)</f>
        <v>2022</v>
      </c>
      <c r="C175" s="4" t="str">
        <f>TEXT(A175,"mmmm")</f>
        <v>October</v>
      </c>
      <c r="D175" s="4">
        <f>Raw_Data!A175</f>
        <v>84</v>
      </c>
      <c r="E175" s="4" t="str">
        <f>Raw_Data!B175</f>
        <v>e</v>
      </c>
      <c r="F175" s="4">
        <f>Raw_Data!C175</f>
        <v>501.61116500000003</v>
      </c>
    </row>
    <row r="176" spans="1:6" thickTop="1" thickBot="1" x14ac:dyDescent="0.35">
      <c r="A176" s="5">
        <f>Raw_Data!D176</f>
        <v>44571</v>
      </c>
      <c r="B176" s="4">
        <f>YEAR(A176)</f>
        <v>2022</v>
      </c>
      <c r="C176" s="4" t="str">
        <f>TEXT(A176,"mmmm")</f>
        <v>January</v>
      </c>
      <c r="D176" s="4">
        <f>Raw_Data!A176</f>
        <v>11</v>
      </c>
      <c r="E176" s="4" t="str">
        <f>Raw_Data!B176</f>
        <v>g</v>
      </c>
      <c r="F176" s="4">
        <f>Raw_Data!C176</f>
        <v>432.63695139999999</v>
      </c>
    </row>
    <row r="177" spans="1:6" thickTop="1" thickBot="1" x14ac:dyDescent="0.35">
      <c r="A177" s="5">
        <f>Raw_Data!D177</f>
        <v>44847</v>
      </c>
      <c r="B177" s="4">
        <f>YEAR(A177)</f>
        <v>2022</v>
      </c>
      <c r="C177" s="4" t="str">
        <f>TEXT(A177,"mmmm")</f>
        <v>October</v>
      </c>
      <c r="D177" s="4">
        <f>Raw_Data!A177</f>
        <v>55</v>
      </c>
      <c r="E177" s="4" t="str">
        <f>Raw_Data!B177</f>
        <v>f</v>
      </c>
      <c r="F177" s="4">
        <f>Raw_Data!C177</f>
        <v>541.71729330000005</v>
      </c>
    </row>
    <row r="178" spans="1:6" thickTop="1" thickBot="1" x14ac:dyDescent="0.35">
      <c r="A178" s="5">
        <f>Raw_Data!D178</f>
        <v>44675</v>
      </c>
      <c r="B178" s="4">
        <f>YEAR(A178)</f>
        <v>2022</v>
      </c>
      <c r="C178" s="4" t="str">
        <f>TEXT(A178,"mmmm")</f>
        <v>April</v>
      </c>
      <c r="D178" s="4">
        <f>Raw_Data!A178</f>
        <v>8</v>
      </c>
      <c r="E178" s="4" t="str">
        <f>Raw_Data!B178</f>
        <v>j</v>
      </c>
      <c r="F178" s="4">
        <f>Raw_Data!C178</f>
        <v>681.56825140000001</v>
      </c>
    </row>
    <row r="179" spans="1:6" thickTop="1" thickBot="1" x14ac:dyDescent="0.35">
      <c r="A179" s="5">
        <f>Raw_Data!D179</f>
        <v>44906</v>
      </c>
      <c r="B179" s="4">
        <f>YEAR(A179)</f>
        <v>2022</v>
      </c>
      <c r="C179" s="4" t="str">
        <f>TEXT(A179,"mmmm")</f>
        <v>December</v>
      </c>
      <c r="D179" s="4">
        <f>Raw_Data!A179</f>
        <v>46</v>
      </c>
      <c r="E179" s="4" t="str">
        <f>Raw_Data!B179</f>
        <v>a</v>
      </c>
      <c r="F179" s="4">
        <f>Raw_Data!C179</f>
        <v>443.15436649999998</v>
      </c>
    </row>
    <row r="180" spans="1:6" thickTop="1" thickBot="1" x14ac:dyDescent="0.35">
      <c r="A180" s="5">
        <f>Raw_Data!D180</f>
        <v>44897</v>
      </c>
      <c r="B180" s="4">
        <f>YEAR(A180)</f>
        <v>2022</v>
      </c>
      <c r="C180" s="4" t="str">
        <f>TEXT(A180,"mmmm")</f>
        <v>December</v>
      </c>
      <c r="D180" s="4">
        <f>Raw_Data!A180</f>
        <v>85</v>
      </c>
      <c r="E180" s="4" t="str">
        <f>Raw_Data!B180</f>
        <v>j</v>
      </c>
      <c r="F180" s="4">
        <f>Raw_Data!C180</f>
        <v>459.01255889999999</v>
      </c>
    </row>
    <row r="181" spans="1:6" thickTop="1" thickBot="1" x14ac:dyDescent="0.35">
      <c r="A181" s="5">
        <f>Raw_Data!D181</f>
        <v>44830</v>
      </c>
      <c r="B181" s="4">
        <f>YEAR(A181)</f>
        <v>2022</v>
      </c>
      <c r="C181" s="4" t="str">
        <f>TEXT(A181,"mmmm")</f>
        <v>September</v>
      </c>
      <c r="D181" s="4">
        <f>Raw_Data!A181</f>
        <v>66</v>
      </c>
      <c r="E181" s="4" t="str">
        <f>Raw_Data!B181</f>
        <v>g</v>
      </c>
      <c r="F181" s="4">
        <f>Raw_Data!C181</f>
        <v>448.75647789999999</v>
      </c>
    </row>
    <row r="182" spans="1:6" thickTop="1" thickBot="1" x14ac:dyDescent="0.35">
      <c r="A182" s="5">
        <f>Raw_Data!D182</f>
        <v>44715</v>
      </c>
      <c r="B182" s="4">
        <f>YEAR(A182)</f>
        <v>2022</v>
      </c>
      <c r="C182" s="4" t="str">
        <f>TEXT(A182,"mmmm")</f>
        <v>June</v>
      </c>
      <c r="D182" s="4">
        <f>Raw_Data!A182</f>
        <v>77</v>
      </c>
      <c r="E182" s="4" t="str">
        <f>Raw_Data!B182</f>
        <v>b</v>
      </c>
      <c r="F182" s="4">
        <f>Raw_Data!C182</f>
        <v>442.7757522</v>
      </c>
    </row>
    <row r="183" spans="1:6" thickTop="1" thickBot="1" x14ac:dyDescent="0.35">
      <c r="A183" s="5">
        <f>Raw_Data!D183</f>
        <v>44678</v>
      </c>
      <c r="B183" s="4">
        <f>YEAR(A183)</f>
        <v>2022</v>
      </c>
      <c r="C183" s="4" t="str">
        <f>TEXT(A183,"mmmm")</f>
        <v>April</v>
      </c>
      <c r="D183" s="4">
        <f>Raw_Data!A183</f>
        <v>46</v>
      </c>
      <c r="E183" s="4" t="str">
        <f>Raw_Data!B183</f>
        <v>j</v>
      </c>
      <c r="F183" s="4">
        <f>Raw_Data!C183</f>
        <v>590.2827585</v>
      </c>
    </row>
    <row r="184" spans="1:6" thickTop="1" thickBot="1" x14ac:dyDescent="0.35">
      <c r="A184" s="5">
        <f>Raw_Data!D184</f>
        <v>44779</v>
      </c>
      <c r="B184" s="4">
        <f>YEAR(A184)</f>
        <v>2022</v>
      </c>
      <c r="C184" s="4" t="str">
        <f>TEXT(A184,"mmmm")</f>
        <v>August</v>
      </c>
      <c r="D184" s="4">
        <f>Raw_Data!A184</f>
        <v>70</v>
      </c>
      <c r="E184" s="4" t="str">
        <f>Raw_Data!B184</f>
        <v>e</v>
      </c>
      <c r="F184" s="4">
        <f>Raw_Data!C184</f>
        <v>425.19880619999998</v>
      </c>
    </row>
    <row r="185" spans="1:6" thickTop="1" thickBot="1" x14ac:dyDescent="0.35">
      <c r="A185" s="5">
        <f>Raw_Data!D185</f>
        <v>44713</v>
      </c>
      <c r="B185" s="4">
        <f>YEAR(A185)</f>
        <v>2022</v>
      </c>
      <c r="C185" s="4" t="str">
        <f>TEXT(A185,"mmmm")</f>
        <v>June</v>
      </c>
      <c r="D185" s="4">
        <f>Raw_Data!A185</f>
        <v>72</v>
      </c>
      <c r="E185" s="4" t="str">
        <f>Raw_Data!B185</f>
        <v>c</v>
      </c>
      <c r="F185" s="4">
        <f>Raw_Data!C185</f>
        <v>491.99009890000002</v>
      </c>
    </row>
    <row r="186" spans="1:6" thickTop="1" thickBot="1" x14ac:dyDescent="0.35">
      <c r="A186" s="5">
        <f>Raw_Data!D186</f>
        <v>44912</v>
      </c>
      <c r="B186" s="4">
        <f>YEAR(A186)</f>
        <v>2022</v>
      </c>
      <c r="C186" s="4" t="str">
        <f>TEXT(A186,"mmmm")</f>
        <v>December</v>
      </c>
      <c r="D186" s="4">
        <f>Raw_Data!A186</f>
        <v>44</v>
      </c>
      <c r="E186" s="4" t="str">
        <f>Raw_Data!B186</f>
        <v>b</v>
      </c>
      <c r="F186" s="4">
        <f>Raw_Data!C186</f>
        <v>394.47184820000001</v>
      </c>
    </row>
    <row r="187" spans="1:6" thickTop="1" thickBot="1" x14ac:dyDescent="0.35">
      <c r="A187" s="5">
        <f>Raw_Data!D187</f>
        <v>44730</v>
      </c>
      <c r="B187" s="4">
        <f>YEAR(A187)</f>
        <v>2022</v>
      </c>
      <c r="C187" s="4" t="str">
        <f>TEXT(A187,"mmmm")</f>
        <v>June</v>
      </c>
      <c r="D187" s="4">
        <f>Raw_Data!A187</f>
        <v>32</v>
      </c>
      <c r="E187" s="4" t="str">
        <f>Raw_Data!B187</f>
        <v>f</v>
      </c>
      <c r="F187" s="4">
        <f>Raw_Data!C187</f>
        <v>527.20364380000001</v>
      </c>
    </row>
    <row r="188" spans="1:6" thickTop="1" thickBot="1" x14ac:dyDescent="0.35">
      <c r="A188" s="5">
        <f>Raw_Data!D188</f>
        <v>44721</v>
      </c>
      <c r="B188" s="4">
        <f>YEAR(A188)</f>
        <v>2022</v>
      </c>
      <c r="C188" s="4" t="str">
        <f>TEXT(A188,"mmmm")</f>
        <v>June</v>
      </c>
      <c r="D188" s="4">
        <f>Raw_Data!A188</f>
        <v>36</v>
      </c>
      <c r="E188" s="4" t="str">
        <f>Raw_Data!B188</f>
        <v>b</v>
      </c>
      <c r="F188" s="4">
        <f>Raw_Data!C188</f>
        <v>480.47181999999998</v>
      </c>
    </row>
    <row r="189" spans="1:6" thickTop="1" thickBot="1" x14ac:dyDescent="0.35">
      <c r="A189" s="5">
        <f>Raw_Data!D189</f>
        <v>44844</v>
      </c>
      <c r="B189" s="4">
        <f>YEAR(A189)</f>
        <v>2022</v>
      </c>
      <c r="C189" s="4" t="str">
        <f>TEXT(A189,"mmmm")</f>
        <v>October</v>
      </c>
      <c r="D189" s="4">
        <f>Raw_Data!A189</f>
        <v>45</v>
      </c>
      <c r="E189" s="4" t="str">
        <f>Raw_Data!B189</f>
        <v>c</v>
      </c>
      <c r="F189" s="4">
        <f>Raw_Data!C189</f>
        <v>371.64007070000002</v>
      </c>
    </row>
    <row r="190" spans="1:6" thickTop="1" thickBot="1" x14ac:dyDescent="0.35">
      <c r="A190" s="5">
        <f>Raw_Data!D190</f>
        <v>44686</v>
      </c>
      <c r="B190" s="4">
        <f>YEAR(A190)</f>
        <v>2022</v>
      </c>
      <c r="C190" s="4" t="str">
        <f>TEXT(A190,"mmmm")</f>
        <v>May</v>
      </c>
      <c r="D190" s="4">
        <f>Raw_Data!A190</f>
        <v>14</v>
      </c>
      <c r="E190" s="4" t="str">
        <f>Raw_Data!B190</f>
        <v>c</v>
      </c>
      <c r="F190" s="4">
        <f>Raw_Data!C190</f>
        <v>435.81590499999999</v>
      </c>
    </row>
    <row r="191" spans="1:6" thickTop="1" thickBot="1" x14ac:dyDescent="0.35">
      <c r="A191" s="5">
        <f>Raw_Data!D191</f>
        <v>44819</v>
      </c>
      <c r="B191" s="4">
        <f>YEAR(A191)</f>
        <v>2022</v>
      </c>
      <c r="C191" s="4" t="str">
        <f>TEXT(A191,"mmmm")</f>
        <v>September</v>
      </c>
      <c r="D191" s="4">
        <f>Raw_Data!A191</f>
        <v>16</v>
      </c>
      <c r="E191" s="4" t="str">
        <f>Raw_Data!B191</f>
        <v>d</v>
      </c>
      <c r="F191" s="4">
        <f>Raw_Data!C191</f>
        <v>402.93367569999998</v>
      </c>
    </row>
    <row r="192" spans="1:6" thickTop="1" thickBot="1" x14ac:dyDescent="0.35">
      <c r="A192" s="5">
        <f>Raw_Data!D192</f>
        <v>44887</v>
      </c>
      <c r="B192" s="4">
        <f>YEAR(A192)</f>
        <v>2022</v>
      </c>
      <c r="C192" s="4" t="str">
        <f>TEXT(A192,"mmmm")</f>
        <v>November</v>
      </c>
      <c r="D192" s="4">
        <f>Raw_Data!A192</f>
        <v>87</v>
      </c>
      <c r="E192" s="4" t="str">
        <f>Raw_Data!B192</f>
        <v>i</v>
      </c>
      <c r="F192" s="4">
        <f>Raw_Data!C192</f>
        <v>370.76538099999999</v>
      </c>
    </row>
    <row r="193" spans="1:6" thickTop="1" thickBot="1" x14ac:dyDescent="0.35">
      <c r="A193" s="5">
        <f>Raw_Data!D193</f>
        <v>44618</v>
      </c>
      <c r="B193" s="4">
        <f>YEAR(A193)</f>
        <v>2022</v>
      </c>
      <c r="C193" s="4" t="str">
        <f>TEXT(A193,"mmmm")</f>
        <v>February</v>
      </c>
      <c r="D193" s="4">
        <f>Raw_Data!A193</f>
        <v>33</v>
      </c>
      <c r="E193" s="4" t="str">
        <f>Raw_Data!B193</f>
        <v>e</v>
      </c>
      <c r="F193" s="4">
        <f>Raw_Data!C193</f>
        <v>413.7295982</v>
      </c>
    </row>
    <row r="194" spans="1:6" thickTop="1" thickBot="1" x14ac:dyDescent="0.35">
      <c r="A194" s="5">
        <f>Raw_Data!D194</f>
        <v>44809</v>
      </c>
      <c r="B194" s="4">
        <f>YEAR(A194)</f>
        <v>2022</v>
      </c>
      <c r="C194" s="4" t="str">
        <f>TEXT(A194,"mmmm")</f>
        <v>September</v>
      </c>
      <c r="D194" s="4">
        <f>Raw_Data!A194</f>
        <v>40</v>
      </c>
      <c r="E194" s="4" t="str">
        <f>Raw_Data!B194</f>
        <v>b</v>
      </c>
      <c r="F194" s="4">
        <f>Raw_Data!C194</f>
        <v>283.81342160000003</v>
      </c>
    </row>
    <row r="195" spans="1:6" thickTop="1" thickBot="1" x14ac:dyDescent="0.35">
      <c r="A195" s="5">
        <f>Raw_Data!D195</f>
        <v>44734</v>
      </c>
      <c r="B195" s="4">
        <f>YEAR(A195)</f>
        <v>2022</v>
      </c>
      <c r="C195" s="4" t="str">
        <f>TEXT(A195,"mmmm")</f>
        <v>June</v>
      </c>
      <c r="D195" s="4">
        <f>Raw_Data!A195</f>
        <v>40</v>
      </c>
      <c r="E195" s="4" t="str">
        <f>Raw_Data!B195</f>
        <v>i</v>
      </c>
      <c r="F195" s="4">
        <f>Raw_Data!C195</f>
        <v>636.80769740000005</v>
      </c>
    </row>
    <row r="196" spans="1:6" thickTop="1" thickBot="1" x14ac:dyDescent="0.35">
      <c r="A196" s="5">
        <f>Raw_Data!D196</f>
        <v>44672</v>
      </c>
      <c r="B196" s="4">
        <f>YEAR(A196)</f>
        <v>2022</v>
      </c>
      <c r="C196" s="4" t="str">
        <f>TEXT(A196,"mmmm")</f>
        <v>April</v>
      </c>
      <c r="D196" s="4">
        <f>Raw_Data!A196</f>
        <v>10</v>
      </c>
      <c r="E196" s="4" t="str">
        <f>Raw_Data!B196</f>
        <v>a</v>
      </c>
      <c r="F196" s="4">
        <f>Raw_Data!C196</f>
        <v>450.31601569999998</v>
      </c>
    </row>
    <row r="197" spans="1:6" thickTop="1" thickBot="1" x14ac:dyDescent="0.35">
      <c r="A197" s="5">
        <f>Raw_Data!D197</f>
        <v>44579</v>
      </c>
      <c r="B197" s="4">
        <f>YEAR(A197)</f>
        <v>2022</v>
      </c>
      <c r="C197" s="4" t="str">
        <f>TEXT(A197,"mmmm")</f>
        <v>January</v>
      </c>
      <c r="D197" s="4">
        <f>Raw_Data!A197</f>
        <v>89</v>
      </c>
      <c r="E197" s="4" t="str">
        <f>Raw_Data!B197</f>
        <v>g</v>
      </c>
      <c r="F197" s="4">
        <f>Raw_Data!C197</f>
        <v>515.63744670000005</v>
      </c>
    </row>
    <row r="198" spans="1:6" thickTop="1" thickBot="1" x14ac:dyDescent="0.35">
      <c r="A198" s="5">
        <f>Raw_Data!D198</f>
        <v>44892</v>
      </c>
      <c r="B198" s="4">
        <f>YEAR(A198)</f>
        <v>2022</v>
      </c>
      <c r="C198" s="4" t="str">
        <f>TEXT(A198,"mmmm")</f>
        <v>November</v>
      </c>
      <c r="D198" s="4">
        <f>Raw_Data!A198</f>
        <v>72</v>
      </c>
      <c r="E198" s="4" t="str">
        <f>Raw_Data!B198</f>
        <v>a</v>
      </c>
      <c r="F198" s="4">
        <f>Raw_Data!C198</f>
        <v>504.24309449999998</v>
      </c>
    </row>
    <row r="199" spans="1:6" thickTop="1" thickBot="1" x14ac:dyDescent="0.35">
      <c r="A199" s="5">
        <f>Raw_Data!D199</f>
        <v>44689</v>
      </c>
      <c r="B199" s="4">
        <f>YEAR(A199)</f>
        <v>2022</v>
      </c>
      <c r="C199" s="4" t="str">
        <f>TEXT(A199,"mmmm")</f>
        <v>May</v>
      </c>
      <c r="D199" s="4">
        <f>Raw_Data!A199</f>
        <v>82</v>
      </c>
      <c r="E199" s="4" t="str">
        <f>Raw_Data!B199</f>
        <v>f</v>
      </c>
      <c r="F199" s="4">
        <f>Raw_Data!C199</f>
        <v>529.98288349999996</v>
      </c>
    </row>
    <row r="200" spans="1:6" thickTop="1" thickBot="1" x14ac:dyDescent="0.35">
      <c r="A200" s="5">
        <f>Raw_Data!D200</f>
        <v>44568</v>
      </c>
      <c r="B200" s="4">
        <f>YEAR(A200)</f>
        <v>2022</v>
      </c>
      <c r="C200" s="4" t="str">
        <f>TEXT(A200,"mmmm")</f>
        <v>January</v>
      </c>
      <c r="D200" s="4">
        <f>Raw_Data!A200</f>
        <v>9</v>
      </c>
      <c r="E200" s="4" t="str">
        <f>Raw_Data!B200</f>
        <v>a</v>
      </c>
      <c r="F200" s="4">
        <f>Raw_Data!C200</f>
        <v>502.17819129999998</v>
      </c>
    </row>
    <row r="201" spans="1:6" thickTop="1" thickBot="1" x14ac:dyDescent="0.35">
      <c r="A201" s="5">
        <f>Raw_Data!D201</f>
        <v>44575</v>
      </c>
      <c r="B201" s="4">
        <f>YEAR(A201)</f>
        <v>2022</v>
      </c>
      <c r="C201" s="4" t="str">
        <f>TEXT(A201,"mmmm")</f>
        <v>January</v>
      </c>
      <c r="D201" s="4">
        <f>Raw_Data!A201</f>
        <v>7</v>
      </c>
      <c r="E201" s="4" t="str">
        <f>Raw_Data!B201</f>
        <v>f</v>
      </c>
      <c r="F201" s="4">
        <f>Raw_Data!C201</f>
        <v>575.37559899999997</v>
      </c>
    </row>
    <row r="202" spans="1:6" thickTop="1" thickBot="1" x14ac:dyDescent="0.35">
      <c r="A202" s="5">
        <f>Raw_Data!D202</f>
        <v>44617</v>
      </c>
      <c r="B202" s="4">
        <f>YEAR(A202)</f>
        <v>2022</v>
      </c>
      <c r="C202" s="4" t="str">
        <f>TEXT(A202,"mmmm")</f>
        <v>February</v>
      </c>
      <c r="D202" s="4">
        <f>Raw_Data!A202</f>
        <v>7</v>
      </c>
      <c r="E202" s="4" t="str">
        <f>Raw_Data!B202</f>
        <v>h</v>
      </c>
      <c r="F202" s="4">
        <f>Raw_Data!C202</f>
        <v>606.72636179999995</v>
      </c>
    </row>
    <row r="203" spans="1:6" thickTop="1" thickBot="1" x14ac:dyDescent="0.35">
      <c r="A203" s="5">
        <f>Raw_Data!D203</f>
        <v>44919</v>
      </c>
      <c r="B203" s="4">
        <f>YEAR(A203)</f>
        <v>2022</v>
      </c>
      <c r="C203" s="4" t="str">
        <f>TEXT(A203,"mmmm")</f>
        <v>December</v>
      </c>
      <c r="D203" s="4">
        <f>Raw_Data!A203</f>
        <v>58</v>
      </c>
      <c r="E203" s="4" t="str">
        <f>Raw_Data!B203</f>
        <v>j</v>
      </c>
      <c r="F203" s="4">
        <f>Raw_Data!C203</f>
        <v>433.06036799999998</v>
      </c>
    </row>
    <row r="204" spans="1:6" thickTop="1" thickBot="1" x14ac:dyDescent="0.35">
      <c r="A204" s="5">
        <f>Raw_Data!D204</f>
        <v>44723</v>
      </c>
      <c r="B204" s="4">
        <f>YEAR(A204)</f>
        <v>2022</v>
      </c>
      <c r="C204" s="4" t="str">
        <f>TEXT(A204,"mmmm")</f>
        <v>June</v>
      </c>
      <c r="D204" s="4">
        <f>Raw_Data!A204</f>
        <v>61</v>
      </c>
      <c r="E204" s="4" t="str">
        <f>Raw_Data!B204</f>
        <v>b</v>
      </c>
      <c r="F204" s="4">
        <f>Raw_Data!C204</f>
        <v>350.15066339999998</v>
      </c>
    </row>
    <row r="205" spans="1:6" thickTop="1" thickBot="1" x14ac:dyDescent="0.35">
      <c r="A205" s="5">
        <f>Raw_Data!D205</f>
        <v>44865</v>
      </c>
      <c r="B205" s="4">
        <f>YEAR(A205)</f>
        <v>2022</v>
      </c>
      <c r="C205" s="4" t="str">
        <f>TEXT(A205,"mmmm")</f>
        <v>October</v>
      </c>
      <c r="D205" s="4">
        <f>Raw_Data!A205</f>
        <v>74</v>
      </c>
      <c r="E205" s="4" t="str">
        <f>Raw_Data!B205</f>
        <v>e</v>
      </c>
      <c r="F205" s="4">
        <f>Raw_Data!C205</f>
        <v>524.36687589999997</v>
      </c>
    </row>
    <row r="206" spans="1:6" thickTop="1" thickBot="1" x14ac:dyDescent="0.35">
      <c r="A206" s="5">
        <f>Raw_Data!D206</f>
        <v>44771</v>
      </c>
      <c r="B206" s="4">
        <f>YEAR(A206)</f>
        <v>2022</v>
      </c>
      <c r="C206" s="4" t="str">
        <f>TEXT(A206,"mmmm")</f>
        <v>July</v>
      </c>
      <c r="D206" s="4">
        <f>Raw_Data!A206</f>
        <v>24</v>
      </c>
      <c r="E206" s="4" t="str">
        <f>Raw_Data!B206</f>
        <v>j</v>
      </c>
      <c r="F206" s="4">
        <f>Raw_Data!C206</f>
        <v>488.03978560000002</v>
      </c>
    </row>
    <row r="207" spans="1:6" thickTop="1" thickBot="1" x14ac:dyDescent="0.35">
      <c r="A207" s="5">
        <f>Raw_Data!D207</f>
        <v>44879</v>
      </c>
      <c r="B207" s="4">
        <f>YEAR(A207)</f>
        <v>2022</v>
      </c>
      <c r="C207" s="4" t="str">
        <f>TEXT(A207,"mmmm")</f>
        <v>November</v>
      </c>
      <c r="D207" s="4">
        <f>Raw_Data!A207</f>
        <v>63</v>
      </c>
      <c r="E207" s="4" t="str">
        <f>Raw_Data!B207</f>
        <v>b</v>
      </c>
      <c r="F207" s="4">
        <f>Raw_Data!C207</f>
        <v>419.23971110000002</v>
      </c>
    </row>
    <row r="208" spans="1:6" thickTop="1" thickBot="1" x14ac:dyDescent="0.35">
      <c r="A208" s="5">
        <f>Raw_Data!D208</f>
        <v>44841</v>
      </c>
      <c r="B208" s="4">
        <f>YEAR(A208)</f>
        <v>2022</v>
      </c>
      <c r="C208" s="4" t="str">
        <f>TEXT(A208,"mmmm")</f>
        <v>October</v>
      </c>
      <c r="D208" s="4">
        <f>Raw_Data!A208</f>
        <v>54</v>
      </c>
      <c r="E208" s="4" t="str">
        <f>Raw_Data!B208</f>
        <v>e</v>
      </c>
      <c r="F208" s="4">
        <f>Raw_Data!C208</f>
        <v>509.13180269999998</v>
      </c>
    </row>
    <row r="209" spans="1:6" thickTop="1" thickBot="1" x14ac:dyDescent="0.35">
      <c r="A209" s="5">
        <f>Raw_Data!D209</f>
        <v>44858</v>
      </c>
      <c r="B209" s="4">
        <f>YEAR(A209)</f>
        <v>2022</v>
      </c>
      <c r="C209" s="4" t="str">
        <f>TEXT(A209,"mmmm")</f>
        <v>October</v>
      </c>
      <c r="D209" s="4">
        <f>Raw_Data!A209</f>
        <v>23</v>
      </c>
      <c r="E209" s="4" t="str">
        <f>Raw_Data!B209</f>
        <v>c</v>
      </c>
      <c r="F209" s="4">
        <f>Raw_Data!C209</f>
        <v>592.57609290000005</v>
      </c>
    </row>
    <row r="210" spans="1:6" thickTop="1" thickBot="1" x14ac:dyDescent="0.35">
      <c r="A210" s="5">
        <f>Raw_Data!D210</f>
        <v>44562</v>
      </c>
      <c r="B210" s="4">
        <f>YEAR(A210)</f>
        <v>2022</v>
      </c>
      <c r="C210" s="4" t="str">
        <f>TEXT(A210,"mmmm")</f>
        <v>January</v>
      </c>
      <c r="D210" s="4">
        <f>Raw_Data!A210</f>
        <v>26</v>
      </c>
      <c r="E210" s="4" t="str">
        <f>Raw_Data!B210</f>
        <v>f</v>
      </c>
      <c r="F210" s="4">
        <f>Raw_Data!C210</f>
        <v>505.37904350000002</v>
      </c>
    </row>
    <row r="211" spans="1:6" thickTop="1" thickBot="1" x14ac:dyDescent="0.35">
      <c r="A211" s="5">
        <f>Raw_Data!D211</f>
        <v>44881</v>
      </c>
      <c r="B211" s="4">
        <f>YEAR(A211)</f>
        <v>2022</v>
      </c>
      <c r="C211" s="4" t="str">
        <f>TEXT(A211,"mmmm")</f>
        <v>November</v>
      </c>
      <c r="D211" s="4">
        <f>Raw_Data!A211</f>
        <v>33</v>
      </c>
      <c r="E211" s="4" t="str">
        <f>Raw_Data!B211</f>
        <v>f</v>
      </c>
      <c r="F211" s="4">
        <f>Raw_Data!C211</f>
        <v>377.54311050000001</v>
      </c>
    </row>
    <row r="212" spans="1:6" thickTop="1" thickBot="1" x14ac:dyDescent="0.35">
      <c r="A212" s="5">
        <f>Raw_Data!D212</f>
        <v>44723</v>
      </c>
      <c r="B212" s="4">
        <f>YEAR(A212)</f>
        <v>2022</v>
      </c>
      <c r="C212" s="4" t="str">
        <f>TEXT(A212,"mmmm")</f>
        <v>June</v>
      </c>
      <c r="D212" s="4">
        <f>Raw_Data!A212</f>
        <v>57</v>
      </c>
      <c r="E212" s="4" t="str">
        <f>Raw_Data!B212</f>
        <v>i</v>
      </c>
      <c r="F212" s="4">
        <f>Raw_Data!C212</f>
        <v>531.76902310000003</v>
      </c>
    </row>
    <row r="213" spans="1:6" thickTop="1" thickBot="1" x14ac:dyDescent="0.35">
      <c r="A213" s="5">
        <f>Raw_Data!D213</f>
        <v>44803</v>
      </c>
      <c r="B213" s="4">
        <f>YEAR(A213)</f>
        <v>2022</v>
      </c>
      <c r="C213" s="4" t="str">
        <f>TEXT(A213,"mmmm")</f>
        <v>August</v>
      </c>
      <c r="D213" s="4">
        <f>Raw_Data!A213</f>
        <v>29</v>
      </c>
      <c r="E213" s="4" t="str">
        <f>Raw_Data!B213</f>
        <v>f</v>
      </c>
      <c r="F213" s="4">
        <f>Raw_Data!C213</f>
        <v>385.45520190000002</v>
      </c>
    </row>
    <row r="214" spans="1:6" thickTop="1" thickBot="1" x14ac:dyDescent="0.35">
      <c r="A214" s="5">
        <f>Raw_Data!D214</f>
        <v>44654</v>
      </c>
      <c r="B214" s="4">
        <f>YEAR(A214)</f>
        <v>2022</v>
      </c>
      <c r="C214" s="4" t="str">
        <f>TEXT(A214,"mmmm")</f>
        <v>April</v>
      </c>
      <c r="D214" s="4">
        <f>Raw_Data!A214</f>
        <v>10</v>
      </c>
      <c r="E214" s="4" t="str">
        <f>Raw_Data!B214</f>
        <v>d</v>
      </c>
      <c r="F214" s="4">
        <f>Raw_Data!C214</f>
        <v>527.39358419999996</v>
      </c>
    </row>
    <row r="215" spans="1:6" thickTop="1" thickBot="1" x14ac:dyDescent="0.35">
      <c r="A215" s="5">
        <f>Raw_Data!D215</f>
        <v>44907</v>
      </c>
      <c r="B215" s="4">
        <f>YEAR(A215)</f>
        <v>2022</v>
      </c>
      <c r="C215" s="4" t="str">
        <f>TEXT(A215,"mmmm")</f>
        <v>December</v>
      </c>
      <c r="D215" s="4">
        <f>Raw_Data!A215</f>
        <v>53</v>
      </c>
      <c r="E215" s="4" t="str">
        <f>Raw_Data!B215</f>
        <v>b</v>
      </c>
      <c r="F215" s="4">
        <f>Raw_Data!C215</f>
        <v>520.34911690000001</v>
      </c>
    </row>
    <row r="216" spans="1:6" thickTop="1" thickBot="1" x14ac:dyDescent="0.35">
      <c r="A216" s="5">
        <f>Raw_Data!D216</f>
        <v>44727</v>
      </c>
      <c r="B216" s="4">
        <f>YEAR(A216)</f>
        <v>2022</v>
      </c>
      <c r="C216" s="4" t="str">
        <f>TEXT(A216,"mmmm")</f>
        <v>June</v>
      </c>
      <c r="D216" s="4">
        <f>Raw_Data!A216</f>
        <v>54</v>
      </c>
      <c r="E216" s="4" t="str">
        <f>Raw_Data!B216</f>
        <v>g</v>
      </c>
      <c r="F216" s="4">
        <f>Raw_Data!C216</f>
        <v>651.2362329</v>
      </c>
    </row>
    <row r="217" spans="1:6" thickTop="1" thickBot="1" x14ac:dyDescent="0.35">
      <c r="A217" s="5">
        <f>Raw_Data!D217</f>
        <v>44706</v>
      </c>
      <c r="B217" s="4">
        <f>YEAR(A217)</f>
        <v>2022</v>
      </c>
      <c r="C217" s="4" t="str">
        <f>TEXT(A217,"mmmm")</f>
        <v>May</v>
      </c>
      <c r="D217" s="4">
        <f>Raw_Data!A217</f>
        <v>77</v>
      </c>
      <c r="E217" s="4" t="str">
        <f>Raw_Data!B217</f>
        <v>i</v>
      </c>
      <c r="F217" s="4">
        <f>Raw_Data!C217</f>
        <v>480.97927320000002</v>
      </c>
    </row>
    <row r="218" spans="1:6" thickTop="1" thickBot="1" x14ac:dyDescent="0.35">
      <c r="A218" s="5">
        <f>Raw_Data!D218</f>
        <v>44915</v>
      </c>
      <c r="B218" s="4">
        <f>YEAR(A218)</f>
        <v>2022</v>
      </c>
      <c r="C218" s="4" t="str">
        <f>TEXT(A218,"mmmm")</f>
        <v>December</v>
      </c>
      <c r="D218" s="4">
        <f>Raw_Data!A218</f>
        <v>11</v>
      </c>
      <c r="E218" s="4" t="str">
        <f>Raw_Data!B218</f>
        <v>d</v>
      </c>
      <c r="F218" s="4">
        <f>Raw_Data!C218</f>
        <v>573.39820090000001</v>
      </c>
    </row>
    <row r="219" spans="1:6" thickTop="1" thickBot="1" x14ac:dyDescent="0.35">
      <c r="A219" s="5">
        <f>Raw_Data!D219</f>
        <v>44819</v>
      </c>
      <c r="B219" s="4">
        <f>YEAR(A219)</f>
        <v>2022</v>
      </c>
      <c r="C219" s="4" t="str">
        <f>TEXT(A219,"mmmm")</f>
        <v>September</v>
      </c>
      <c r="D219" s="4">
        <f>Raw_Data!A219</f>
        <v>25</v>
      </c>
      <c r="E219" s="4" t="str">
        <f>Raw_Data!B219</f>
        <v>a</v>
      </c>
      <c r="F219" s="4">
        <f>Raw_Data!C219</f>
        <v>588.54386869999996</v>
      </c>
    </row>
    <row r="220" spans="1:6" thickTop="1" thickBot="1" x14ac:dyDescent="0.35">
      <c r="A220" s="5">
        <f>Raw_Data!D220</f>
        <v>44919</v>
      </c>
      <c r="B220" s="4">
        <f>YEAR(A220)</f>
        <v>2022</v>
      </c>
      <c r="C220" s="4" t="str">
        <f>TEXT(A220,"mmmm")</f>
        <v>December</v>
      </c>
      <c r="D220" s="4">
        <f>Raw_Data!A220</f>
        <v>52</v>
      </c>
      <c r="E220" s="4" t="str">
        <f>Raw_Data!B220</f>
        <v>h</v>
      </c>
      <c r="F220" s="4">
        <f>Raw_Data!C220</f>
        <v>479.12893029999998</v>
      </c>
    </row>
    <row r="221" spans="1:6" thickTop="1" thickBot="1" x14ac:dyDescent="0.35">
      <c r="A221" s="5">
        <f>Raw_Data!D221</f>
        <v>44657</v>
      </c>
      <c r="B221" s="4">
        <f>YEAR(A221)</f>
        <v>2022</v>
      </c>
      <c r="C221" s="4" t="str">
        <f>TEXT(A221,"mmmm")</f>
        <v>April</v>
      </c>
      <c r="D221" s="4">
        <f>Raw_Data!A221</f>
        <v>26</v>
      </c>
      <c r="E221" s="4" t="str">
        <f>Raw_Data!B221</f>
        <v>c</v>
      </c>
      <c r="F221" s="4">
        <f>Raw_Data!C221</f>
        <v>353.06996659999999</v>
      </c>
    </row>
    <row r="222" spans="1:6" thickTop="1" thickBot="1" x14ac:dyDescent="0.35">
      <c r="A222" s="5">
        <f>Raw_Data!D222</f>
        <v>44831</v>
      </c>
      <c r="B222" s="4">
        <f>YEAR(A222)</f>
        <v>2022</v>
      </c>
      <c r="C222" s="4" t="str">
        <f>TEXT(A222,"mmmm")</f>
        <v>September</v>
      </c>
      <c r="D222" s="4">
        <f>Raw_Data!A222</f>
        <v>7</v>
      </c>
      <c r="E222" s="4" t="str">
        <f>Raw_Data!B222</f>
        <v>i</v>
      </c>
      <c r="F222" s="4">
        <f>Raw_Data!C222</f>
        <v>496.46603970000001</v>
      </c>
    </row>
    <row r="223" spans="1:6" thickTop="1" thickBot="1" x14ac:dyDescent="0.35">
      <c r="A223" s="5">
        <f>Raw_Data!D223</f>
        <v>44812</v>
      </c>
      <c r="B223" s="4">
        <f>YEAR(A223)</f>
        <v>2022</v>
      </c>
      <c r="C223" s="4" t="str">
        <f>TEXT(A223,"mmmm")</f>
        <v>September</v>
      </c>
      <c r="D223" s="4">
        <f>Raw_Data!A223</f>
        <v>25</v>
      </c>
      <c r="E223" s="4" t="str">
        <f>Raw_Data!B223</f>
        <v>f</v>
      </c>
      <c r="F223" s="4">
        <f>Raw_Data!C223</f>
        <v>529.99014480000005</v>
      </c>
    </row>
    <row r="224" spans="1:6" thickTop="1" thickBot="1" x14ac:dyDescent="0.35">
      <c r="A224" s="5">
        <f>Raw_Data!D224</f>
        <v>44811</v>
      </c>
      <c r="B224" s="4">
        <f>YEAR(A224)</f>
        <v>2022</v>
      </c>
      <c r="C224" s="4" t="str">
        <f>TEXT(A224,"mmmm")</f>
        <v>September</v>
      </c>
      <c r="D224" s="4">
        <f>Raw_Data!A224</f>
        <v>87</v>
      </c>
      <c r="E224" s="4" t="str">
        <f>Raw_Data!B224</f>
        <v>c</v>
      </c>
      <c r="F224" s="4">
        <f>Raw_Data!C224</f>
        <v>539.16371160000006</v>
      </c>
    </row>
    <row r="225" spans="1:6" thickTop="1" thickBot="1" x14ac:dyDescent="0.35">
      <c r="A225" s="5">
        <f>Raw_Data!D225</f>
        <v>44746</v>
      </c>
      <c r="B225" s="4">
        <f>YEAR(A225)</f>
        <v>2022</v>
      </c>
      <c r="C225" s="4" t="str">
        <f>TEXT(A225,"mmmm")</f>
        <v>July</v>
      </c>
      <c r="D225" s="4">
        <f>Raw_Data!A225</f>
        <v>90</v>
      </c>
      <c r="E225" s="4" t="str">
        <f>Raw_Data!B225</f>
        <v>c</v>
      </c>
      <c r="F225" s="4">
        <f>Raw_Data!C225</f>
        <v>517.40299340000001</v>
      </c>
    </row>
    <row r="226" spans="1:6" thickTop="1" thickBot="1" x14ac:dyDescent="0.35">
      <c r="A226" s="5">
        <f>Raw_Data!D226</f>
        <v>44661</v>
      </c>
      <c r="B226" s="4">
        <f>YEAR(A226)</f>
        <v>2022</v>
      </c>
      <c r="C226" s="4" t="str">
        <f>TEXT(A226,"mmmm")</f>
        <v>April</v>
      </c>
      <c r="D226" s="4">
        <f>Raw_Data!A226</f>
        <v>32</v>
      </c>
      <c r="E226" s="4" t="str">
        <f>Raw_Data!B226</f>
        <v>d</v>
      </c>
      <c r="F226" s="4">
        <f>Raw_Data!C226</f>
        <v>478.80422110000001</v>
      </c>
    </row>
    <row r="227" spans="1:6" thickTop="1" thickBot="1" x14ac:dyDescent="0.35">
      <c r="A227" s="5">
        <f>Raw_Data!D227</f>
        <v>44837</v>
      </c>
      <c r="B227" s="4">
        <f>YEAR(A227)</f>
        <v>2022</v>
      </c>
      <c r="C227" s="4" t="str">
        <f>TEXT(A227,"mmmm")</f>
        <v>October</v>
      </c>
      <c r="D227" s="4">
        <f>Raw_Data!A227</f>
        <v>84</v>
      </c>
      <c r="E227" s="4" t="str">
        <f>Raw_Data!B227</f>
        <v>f</v>
      </c>
      <c r="F227" s="4">
        <f>Raw_Data!C227</f>
        <v>609.0602983</v>
      </c>
    </row>
    <row r="228" spans="1:6" thickTop="1" thickBot="1" x14ac:dyDescent="0.35">
      <c r="A228" s="5">
        <f>Raw_Data!D228</f>
        <v>44894</v>
      </c>
      <c r="B228" s="4">
        <f>YEAR(A228)</f>
        <v>2022</v>
      </c>
      <c r="C228" s="4" t="str">
        <f>TEXT(A228,"mmmm")</f>
        <v>November</v>
      </c>
      <c r="D228" s="4">
        <f>Raw_Data!A228</f>
        <v>24</v>
      </c>
      <c r="E228" s="4" t="str">
        <f>Raw_Data!B228</f>
        <v>b</v>
      </c>
      <c r="F228" s="4">
        <f>Raw_Data!C228</f>
        <v>496.97618829999999</v>
      </c>
    </row>
    <row r="229" spans="1:6" thickTop="1" thickBot="1" x14ac:dyDescent="0.35">
      <c r="A229" s="5">
        <f>Raw_Data!D229</f>
        <v>44864</v>
      </c>
      <c r="B229" s="4">
        <f>YEAR(A229)</f>
        <v>2022</v>
      </c>
      <c r="C229" s="4" t="str">
        <f>TEXT(A229,"mmmm")</f>
        <v>October</v>
      </c>
      <c r="D229" s="4">
        <f>Raw_Data!A229</f>
        <v>57</v>
      </c>
      <c r="E229" s="4" t="str">
        <f>Raw_Data!B229</f>
        <v>g</v>
      </c>
      <c r="F229" s="4">
        <f>Raw_Data!C229</f>
        <v>490.91926899999999</v>
      </c>
    </row>
    <row r="230" spans="1:6" thickTop="1" thickBot="1" x14ac:dyDescent="0.35">
      <c r="A230" s="5">
        <f>Raw_Data!D230</f>
        <v>44732</v>
      </c>
      <c r="B230" s="4">
        <f>YEAR(A230)</f>
        <v>2022</v>
      </c>
      <c r="C230" s="4" t="str">
        <f>TEXT(A230,"mmmm")</f>
        <v>June</v>
      </c>
      <c r="D230" s="4">
        <f>Raw_Data!A230</f>
        <v>73</v>
      </c>
      <c r="E230" s="4" t="str">
        <f>Raw_Data!B230</f>
        <v>f</v>
      </c>
      <c r="F230" s="4">
        <f>Raw_Data!C230</f>
        <v>545.72555069999999</v>
      </c>
    </row>
    <row r="231" spans="1:6" thickTop="1" thickBot="1" x14ac:dyDescent="0.35">
      <c r="A231" s="5">
        <f>Raw_Data!D231</f>
        <v>44600</v>
      </c>
      <c r="B231" s="4">
        <f>YEAR(A231)</f>
        <v>2022</v>
      </c>
      <c r="C231" s="4" t="str">
        <f>TEXT(A231,"mmmm")</f>
        <v>February</v>
      </c>
      <c r="D231" s="4">
        <f>Raw_Data!A231</f>
        <v>23</v>
      </c>
      <c r="E231" s="4" t="str">
        <f>Raw_Data!B231</f>
        <v>g</v>
      </c>
      <c r="F231" s="4">
        <f>Raw_Data!C231</f>
        <v>539.26044119999995</v>
      </c>
    </row>
    <row r="232" spans="1:6" thickTop="1" thickBot="1" x14ac:dyDescent="0.35">
      <c r="A232" s="5">
        <f>Raw_Data!D232</f>
        <v>44781</v>
      </c>
      <c r="B232" s="4">
        <f>YEAR(A232)</f>
        <v>2022</v>
      </c>
      <c r="C232" s="4" t="str">
        <f>TEXT(A232,"mmmm")</f>
        <v>August</v>
      </c>
      <c r="D232" s="4">
        <f>Raw_Data!A232</f>
        <v>14</v>
      </c>
      <c r="E232" s="4" t="str">
        <f>Raw_Data!B232</f>
        <v>d</v>
      </c>
      <c r="F232" s="4">
        <f>Raw_Data!C232</f>
        <v>675.97103900000002</v>
      </c>
    </row>
    <row r="233" spans="1:6" thickTop="1" thickBot="1" x14ac:dyDescent="0.35">
      <c r="A233" s="5">
        <f>Raw_Data!D233</f>
        <v>44876</v>
      </c>
      <c r="B233" s="4">
        <f>YEAR(A233)</f>
        <v>2022</v>
      </c>
      <c r="C233" s="4" t="str">
        <f>TEXT(A233,"mmmm")</f>
        <v>November</v>
      </c>
      <c r="D233" s="4">
        <f>Raw_Data!A233</f>
        <v>6</v>
      </c>
      <c r="E233" s="4" t="str">
        <f>Raw_Data!B233</f>
        <v>g</v>
      </c>
      <c r="F233" s="4">
        <f>Raw_Data!C233</f>
        <v>629.39956949999998</v>
      </c>
    </row>
    <row r="234" spans="1:6" thickTop="1" thickBot="1" x14ac:dyDescent="0.35">
      <c r="A234" s="5">
        <f>Raw_Data!D234</f>
        <v>44839</v>
      </c>
      <c r="B234" s="4">
        <f>YEAR(A234)</f>
        <v>2022</v>
      </c>
      <c r="C234" s="4" t="str">
        <f>TEXT(A234,"mmmm")</f>
        <v>October</v>
      </c>
      <c r="D234" s="4">
        <f>Raw_Data!A234</f>
        <v>91</v>
      </c>
      <c r="E234" s="4" t="str">
        <f>Raw_Data!B234</f>
        <v>j</v>
      </c>
      <c r="F234" s="4">
        <f>Raw_Data!C234</f>
        <v>598.25876219999998</v>
      </c>
    </row>
    <row r="235" spans="1:6" thickTop="1" thickBot="1" x14ac:dyDescent="0.35">
      <c r="A235" s="5">
        <f>Raw_Data!D235</f>
        <v>44861</v>
      </c>
      <c r="B235" s="4">
        <f>YEAR(A235)</f>
        <v>2022</v>
      </c>
      <c r="C235" s="4" t="str">
        <f>TEXT(A235,"mmmm")</f>
        <v>October</v>
      </c>
      <c r="D235" s="4">
        <f>Raw_Data!A235</f>
        <v>1</v>
      </c>
      <c r="E235" s="4" t="str">
        <f>Raw_Data!B235</f>
        <v>d</v>
      </c>
      <c r="F235" s="4">
        <f>Raw_Data!C235</f>
        <v>526.22014530000001</v>
      </c>
    </row>
    <row r="236" spans="1:6" thickTop="1" thickBot="1" x14ac:dyDescent="0.35">
      <c r="A236" s="5">
        <f>Raw_Data!D236</f>
        <v>44746</v>
      </c>
      <c r="B236" s="4">
        <f>YEAR(A236)</f>
        <v>2022</v>
      </c>
      <c r="C236" s="4" t="str">
        <f>TEXT(A236,"mmmm")</f>
        <v>July</v>
      </c>
      <c r="D236" s="4">
        <f>Raw_Data!A236</f>
        <v>90</v>
      </c>
      <c r="E236" s="4" t="str">
        <f>Raw_Data!B236</f>
        <v>i</v>
      </c>
      <c r="F236" s="4">
        <f>Raw_Data!C236</f>
        <v>436.57983639999998</v>
      </c>
    </row>
    <row r="237" spans="1:6" thickTop="1" thickBot="1" x14ac:dyDescent="0.35">
      <c r="A237" s="5">
        <f>Raw_Data!D237</f>
        <v>44788</v>
      </c>
      <c r="B237" s="4">
        <f>YEAR(A237)</f>
        <v>2022</v>
      </c>
      <c r="C237" s="4" t="str">
        <f>TEXT(A237,"mmmm")</f>
        <v>August</v>
      </c>
      <c r="D237" s="4">
        <f>Raw_Data!A237</f>
        <v>58</v>
      </c>
      <c r="E237" s="4" t="str">
        <f>Raw_Data!B237</f>
        <v>e</v>
      </c>
      <c r="F237" s="4">
        <f>Raw_Data!C237</f>
        <v>391.19538110000002</v>
      </c>
    </row>
    <row r="238" spans="1:6" thickTop="1" thickBot="1" x14ac:dyDescent="0.35">
      <c r="A238" s="5">
        <f>Raw_Data!D238</f>
        <v>44642</v>
      </c>
      <c r="B238" s="4">
        <f>YEAR(A238)</f>
        <v>2022</v>
      </c>
      <c r="C238" s="4" t="str">
        <f>TEXT(A238,"mmmm")</f>
        <v>March</v>
      </c>
      <c r="D238" s="4">
        <f>Raw_Data!A238</f>
        <v>81</v>
      </c>
      <c r="E238" s="4" t="str">
        <f>Raw_Data!B238</f>
        <v>i</v>
      </c>
      <c r="F238" s="4">
        <f>Raw_Data!C238</f>
        <v>406.6983879</v>
      </c>
    </row>
    <row r="239" spans="1:6" thickTop="1" thickBot="1" x14ac:dyDescent="0.35">
      <c r="A239" s="5">
        <f>Raw_Data!D239</f>
        <v>44887</v>
      </c>
      <c r="B239" s="4">
        <f>YEAR(A239)</f>
        <v>2022</v>
      </c>
      <c r="C239" s="4" t="str">
        <f>TEXT(A239,"mmmm")</f>
        <v>November</v>
      </c>
      <c r="D239" s="4">
        <f>Raw_Data!A239</f>
        <v>29</v>
      </c>
      <c r="E239" s="4" t="str">
        <f>Raw_Data!B239</f>
        <v>i</v>
      </c>
      <c r="F239" s="4">
        <f>Raw_Data!C239</f>
        <v>413.68541499999998</v>
      </c>
    </row>
    <row r="240" spans="1:6" thickTop="1" thickBot="1" x14ac:dyDescent="0.35">
      <c r="A240" s="5">
        <f>Raw_Data!D240</f>
        <v>44723</v>
      </c>
      <c r="B240" s="4">
        <f>YEAR(A240)</f>
        <v>2022</v>
      </c>
      <c r="C240" s="4" t="str">
        <f>TEXT(A240,"mmmm")</f>
        <v>June</v>
      </c>
      <c r="D240" s="4">
        <f>Raw_Data!A240</f>
        <v>26</v>
      </c>
      <c r="E240" s="4" t="str">
        <f>Raw_Data!B240</f>
        <v>c</v>
      </c>
      <c r="F240" s="4">
        <f>Raw_Data!C240</f>
        <v>550.23822040000005</v>
      </c>
    </row>
    <row r="241" spans="1:6" thickTop="1" thickBot="1" x14ac:dyDescent="0.35">
      <c r="A241" s="5">
        <f>Raw_Data!D241</f>
        <v>44622</v>
      </c>
      <c r="B241" s="4">
        <f>YEAR(A241)</f>
        <v>2022</v>
      </c>
      <c r="C241" s="4" t="str">
        <f>TEXT(A241,"mmmm")</f>
        <v>March</v>
      </c>
      <c r="D241" s="4">
        <f>Raw_Data!A241</f>
        <v>27</v>
      </c>
      <c r="E241" s="4" t="str">
        <f>Raw_Data!B241</f>
        <v>a</v>
      </c>
      <c r="F241" s="4">
        <f>Raw_Data!C241</f>
        <v>443.52049549999998</v>
      </c>
    </row>
    <row r="242" spans="1:6" thickTop="1" thickBot="1" x14ac:dyDescent="0.35">
      <c r="A242" s="5">
        <f>Raw_Data!D242</f>
        <v>44816</v>
      </c>
      <c r="B242" s="4">
        <f>YEAR(A242)</f>
        <v>2022</v>
      </c>
      <c r="C242" s="4" t="str">
        <f>TEXT(A242,"mmmm")</f>
        <v>September</v>
      </c>
      <c r="D242" s="4">
        <f>Raw_Data!A242</f>
        <v>85</v>
      </c>
      <c r="E242" s="4" t="str">
        <f>Raw_Data!B242</f>
        <v>i</v>
      </c>
      <c r="F242" s="4">
        <f>Raw_Data!C242</f>
        <v>482.3508501</v>
      </c>
    </row>
    <row r="243" spans="1:6" thickTop="1" thickBot="1" x14ac:dyDescent="0.35">
      <c r="A243" s="5">
        <f>Raw_Data!D243</f>
        <v>44727</v>
      </c>
      <c r="B243" s="4">
        <f>YEAR(A243)</f>
        <v>2022</v>
      </c>
      <c r="C243" s="4" t="str">
        <f>TEXT(A243,"mmmm")</f>
        <v>June</v>
      </c>
      <c r="D243" s="4">
        <f>Raw_Data!A243</f>
        <v>7</v>
      </c>
      <c r="E243" s="4" t="str">
        <f>Raw_Data!B243</f>
        <v>i</v>
      </c>
      <c r="F243" s="4">
        <f>Raw_Data!C243</f>
        <v>632.14031769999997</v>
      </c>
    </row>
    <row r="244" spans="1:6" thickTop="1" thickBot="1" x14ac:dyDescent="0.35">
      <c r="A244" s="5">
        <f>Raw_Data!D244</f>
        <v>44639</v>
      </c>
      <c r="B244" s="4">
        <f>YEAR(A244)</f>
        <v>2022</v>
      </c>
      <c r="C244" s="4" t="str">
        <f>TEXT(A244,"mmmm")</f>
        <v>March</v>
      </c>
      <c r="D244" s="4">
        <f>Raw_Data!A244</f>
        <v>60</v>
      </c>
      <c r="E244" s="4" t="str">
        <f>Raw_Data!B244</f>
        <v>c</v>
      </c>
      <c r="F244" s="4">
        <f>Raw_Data!C244</f>
        <v>527.2568076</v>
      </c>
    </row>
    <row r="245" spans="1:6" thickTop="1" thickBot="1" x14ac:dyDescent="0.35">
      <c r="A245" s="5">
        <f>Raw_Data!D245</f>
        <v>44697</v>
      </c>
      <c r="B245" s="4">
        <f>YEAR(A245)</f>
        <v>2022</v>
      </c>
      <c r="C245" s="4" t="str">
        <f>TEXT(A245,"mmmm")</f>
        <v>May</v>
      </c>
      <c r="D245" s="4">
        <f>Raw_Data!A245</f>
        <v>26</v>
      </c>
      <c r="E245" s="4" t="str">
        <f>Raw_Data!B245</f>
        <v>d</v>
      </c>
      <c r="F245" s="4">
        <f>Raw_Data!C245</f>
        <v>501.10562160000001</v>
      </c>
    </row>
    <row r="246" spans="1:6" thickTop="1" thickBot="1" x14ac:dyDescent="0.35">
      <c r="A246" s="5">
        <f>Raw_Data!D246</f>
        <v>44596</v>
      </c>
      <c r="B246" s="4">
        <f>YEAR(A246)</f>
        <v>2022</v>
      </c>
      <c r="C246" s="4" t="str">
        <f>TEXT(A246,"mmmm")</f>
        <v>February</v>
      </c>
      <c r="D246" s="4">
        <f>Raw_Data!A246</f>
        <v>41</v>
      </c>
      <c r="E246" s="4" t="str">
        <f>Raw_Data!B246</f>
        <v>g</v>
      </c>
      <c r="F246" s="4">
        <f>Raw_Data!C246</f>
        <v>421.94537270000001</v>
      </c>
    </row>
    <row r="247" spans="1:6" thickTop="1" thickBot="1" x14ac:dyDescent="0.35">
      <c r="A247" s="5">
        <f>Raw_Data!D247</f>
        <v>44729</v>
      </c>
      <c r="B247" s="4">
        <f>YEAR(A247)</f>
        <v>2022</v>
      </c>
      <c r="C247" s="4" t="str">
        <f>TEXT(A247,"mmmm")</f>
        <v>June</v>
      </c>
      <c r="D247" s="4">
        <f>Raw_Data!A247</f>
        <v>84</v>
      </c>
      <c r="E247" s="4" t="str">
        <f>Raw_Data!B247</f>
        <v>i</v>
      </c>
      <c r="F247" s="4">
        <f>Raw_Data!C247</f>
        <v>429.88994170000001</v>
      </c>
    </row>
    <row r="248" spans="1:6" thickTop="1" thickBot="1" x14ac:dyDescent="0.35">
      <c r="A248" s="5">
        <f>Raw_Data!D248</f>
        <v>44633</v>
      </c>
      <c r="B248" s="4">
        <f>YEAR(A248)</f>
        <v>2022</v>
      </c>
      <c r="C248" s="4" t="str">
        <f>TEXT(A248,"mmmm")</f>
        <v>March</v>
      </c>
      <c r="D248" s="4">
        <f>Raw_Data!A248</f>
        <v>6</v>
      </c>
      <c r="E248" s="4" t="str">
        <f>Raw_Data!B248</f>
        <v>j</v>
      </c>
      <c r="F248" s="4">
        <f>Raw_Data!C248</f>
        <v>424.06351330000001</v>
      </c>
    </row>
    <row r="249" spans="1:6" thickTop="1" thickBot="1" x14ac:dyDescent="0.35">
      <c r="A249" s="5">
        <f>Raw_Data!D249</f>
        <v>44695</v>
      </c>
      <c r="B249" s="4">
        <f>YEAR(A249)</f>
        <v>2022</v>
      </c>
      <c r="C249" s="4" t="str">
        <f>TEXT(A249,"mmmm")</f>
        <v>May</v>
      </c>
      <c r="D249" s="4">
        <f>Raw_Data!A249</f>
        <v>94</v>
      </c>
      <c r="E249" s="4" t="str">
        <f>Raw_Data!B249</f>
        <v>h</v>
      </c>
      <c r="F249" s="4">
        <f>Raw_Data!C249</f>
        <v>482.97400959999999</v>
      </c>
    </row>
    <row r="250" spans="1:6" thickTop="1" thickBot="1" x14ac:dyDescent="0.35">
      <c r="A250" s="5">
        <f>Raw_Data!D250</f>
        <v>44715</v>
      </c>
      <c r="B250" s="4">
        <f>YEAR(A250)</f>
        <v>2022</v>
      </c>
      <c r="C250" s="4" t="str">
        <f>TEXT(A250,"mmmm")</f>
        <v>June</v>
      </c>
      <c r="D250" s="4">
        <f>Raw_Data!A250</f>
        <v>31</v>
      </c>
      <c r="E250" s="4" t="str">
        <f>Raw_Data!B250</f>
        <v>c</v>
      </c>
      <c r="F250" s="4">
        <f>Raw_Data!C250</f>
        <v>434.37141539999999</v>
      </c>
    </row>
    <row r="251" spans="1:6" thickTop="1" thickBot="1" x14ac:dyDescent="0.35">
      <c r="A251" s="5">
        <f>Raw_Data!D251</f>
        <v>44741</v>
      </c>
      <c r="B251" s="4">
        <f>YEAR(A251)</f>
        <v>2022</v>
      </c>
      <c r="C251" s="4" t="str">
        <f>TEXT(A251,"mmmm")</f>
        <v>June</v>
      </c>
      <c r="D251" s="4">
        <f>Raw_Data!A251</f>
        <v>93</v>
      </c>
      <c r="E251" s="4" t="str">
        <f>Raw_Data!B251</f>
        <v>f</v>
      </c>
      <c r="F251" s="4">
        <f>Raw_Data!C251</f>
        <v>515.75442339999995</v>
      </c>
    </row>
    <row r="252" spans="1:6" thickTop="1" thickBot="1" x14ac:dyDescent="0.35">
      <c r="A252" s="5">
        <f>Raw_Data!D252</f>
        <v>44565</v>
      </c>
      <c r="B252" s="4">
        <f>YEAR(A252)</f>
        <v>2022</v>
      </c>
      <c r="C252" s="4" t="str">
        <f>TEXT(A252,"mmmm")</f>
        <v>January</v>
      </c>
      <c r="D252" s="4">
        <f>Raw_Data!A252</f>
        <v>17</v>
      </c>
      <c r="E252" s="4" t="str">
        <f>Raw_Data!B252</f>
        <v>a</v>
      </c>
      <c r="F252" s="4">
        <f>Raw_Data!C252</f>
        <v>609.34147599999994</v>
      </c>
    </row>
    <row r="253" spans="1:6" thickTop="1" thickBot="1" x14ac:dyDescent="0.35">
      <c r="A253" s="5">
        <f>Raw_Data!D253</f>
        <v>44572</v>
      </c>
      <c r="B253" s="4">
        <f>YEAR(A253)</f>
        <v>2022</v>
      </c>
      <c r="C253" s="4" t="str">
        <f>TEXT(A253,"mmmm")</f>
        <v>January</v>
      </c>
      <c r="D253" s="4">
        <f>Raw_Data!A253</f>
        <v>64</v>
      </c>
      <c r="E253" s="4" t="str">
        <f>Raw_Data!B253</f>
        <v>i</v>
      </c>
      <c r="F253" s="4">
        <f>Raw_Data!C253</f>
        <v>530.10424309999996</v>
      </c>
    </row>
    <row r="254" spans="1:6" thickTop="1" thickBot="1" x14ac:dyDescent="0.35">
      <c r="A254" s="5">
        <f>Raw_Data!D254</f>
        <v>44709</v>
      </c>
      <c r="B254" s="4">
        <f>YEAR(A254)</f>
        <v>2022</v>
      </c>
      <c r="C254" s="4" t="str">
        <f>TEXT(A254,"mmmm")</f>
        <v>May</v>
      </c>
      <c r="D254" s="4">
        <f>Raw_Data!A254</f>
        <v>37</v>
      </c>
      <c r="E254" s="4" t="str">
        <f>Raw_Data!B254</f>
        <v>i</v>
      </c>
      <c r="F254" s="4">
        <f>Raw_Data!C254</f>
        <v>444.15106120000002</v>
      </c>
    </row>
    <row r="255" spans="1:6" thickTop="1" thickBot="1" x14ac:dyDescent="0.35">
      <c r="A255" s="5">
        <f>Raw_Data!D255</f>
        <v>44713</v>
      </c>
      <c r="B255" s="4">
        <f>YEAR(A255)</f>
        <v>2022</v>
      </c>
      <c r="C255" s="4" t="str">
        <f>TEXT(A255,"mmmm")</f>
        <v>June</v>
      </c>
      <c r="D255" s="4">
        <f>Raw_Data!A255</f>
        <v>57</v>
      </c>
      <c r="E255" s="4" t="str">
        <f>Raw_Data!B255</f>
        <v>g</v>
      </c>
      <c r="F255" s="4">
        <f>Raw_Data!C255</f>
        <v>392.46241240000001</v>
      </c>
    </row>
    <row r="256" spans="1:6" thickTop="1" thickBot="1" x14ac:dyDescent="0.35">
      <c r="A256" s="5">
        <f>Raw_Data!D256</f>
        <v>44904</v>
      </c>
      <c r="B256" s="4">
        <f>YEAR(A256)</f>
        <v>2022</v>
      </c>
      <c r="C256" s="4" t="str">
        <f>TEXT(A256,"mmmm")</f>
        <v>December</v>
      </c>
      <c r="D256" s="4">
        <f>Raw_Data!A256</f>
        <v>20</v>
      </c>
      <c r="E256" s="4" t="str">
        <f>Raw_Data!B256</f>
        <v>h</v>
      </c>
      <c r="F256" s="4">
        <f>Raw_Data!C256</f>
        <v>520.07873719999998</v>
      </c>
    </row>
    <row r="257" spans="1:6" thickTop="1" thickBot="1" x14ac:dyDescent="0.35">
      <c r="A257" s="5">
        <f>Raw_Data!D257</f>
        <v>44683</v>
      </c>
      <c r="B257" s="4">
        <f>YEAR(A257)</f>
        <v>2022</v>
      </c>
      <c r="C257" s="4" t="str">
        <f>TEXT(A257,"mmmm")</f>
        <v>May</v>
      </c>
      <c r="D257" s="4">
        <f>Raw_Data!A257</f>
        <v>35</v>
      </c>
      <c r="E257" s="4" t="str">
        <f>Raw_Data!B257</f>
        <v>a</v>
      </c>
      <c r="F257" s="4">
        <f>Raw_Data!C257</f>
        <v>508.40202849999997</v>
      </c>
    </row>
    <row r="258" spans="1:6" thickTop="1" thickBot="1" x14ac:dyDescent="0.35">
      <c r="A258" s="5">
        <f>Raw_Data!D258</f>
        <v>44565</v>
      </c>
      <c r="B258" s="4">
        <f>YEAR(A258)</f>
        <v>2022</v>
      </c>
      <c r="C258" s="4" t="str">
        <f>TEXT(A258,"mmmm")</f>
        <v>January</v>
      </c>
      <c r="D258" s="4">
        <f>Raw_Data!A258</f>
        <v>89</v>
      </c>
      <c r="E258" s="4" t="str">
        <f>Raw_Data!B258</f>
        <v>j</v>
      </c>
      <c r="F258" s="4">
        <f>Raw_Data!C258</f>
        <v>407.36013000000003</v>
      </c>
    </row>
    <row r="259" spans="1:6" thickTop="1" thickBot="1" x14ac:dyDescent="0.35">
      <c r="A259" s="5">
        <f>Raw_Data!D259</f>
        <v>44802</v>
      </c>
      <c r="B259" s="4">
        <f>YEAR(A259)</f>
        <v>2022</v>
      </c>
      <c r="C259" s="4" t="str">
        <f>TEXT(A259,"mmmm")</f>
        <v>August</v>
      </c>
      <c r="D259" s="4">
        <f>Raw_Data!A259</f>
        <v>33</v>
      </c>
      <c r="E259" s="4" t="str">
        <f>Raw_Data!B259</f>
        <v>h</v>
      </c>
      <c r="F259" s="4">
        <f>Raw_Data!C259</f>
        <v>538.67007109999997</v>
      </c>
    </row>
    <row r="260" spans="1:6" thickTop="1" thickBot="1" x14ac:dyDescent="0.35">
      <c r="A260" s="5">
        <f>Raw_Data!D260</f>
        <v>44693</v>
      </c>
      <c r="B260" s="4">
        <f>YEAR(A260)</f>
        <v>2022</v>
      </c>
      <c r="C260" s="4" t="str">
        <f>TEXT(A260,"mmmm")</f>
        <v>May</v>
      </c>
      <c r="D260" s="4">
        <f>Raw_Data!A260</f>
        <v>66</v>
      </c>
      <c r="E260" s="4" t="str">
        <f>Raw_Data!B260</f>
        <v>b</v>
      </c>
      <c r="F260" s="4">
        <f>Raw_Data!C260</f>
        <v>566.0417893</v>
      </c>
    </row>
    <row r="261" spans="1:6" thickTop="1" thickBot="1" x14ac:dyDescent="0.35">
      <c r="A261" s="5">
        <f>Raw_Data!D261</f>
        <v>44881</v>
      </c>
      <c r="B261" s="4">
        <f>YEAR(A261)</f>
        <v>2022</v>
      </c>
      <c r="C261" s="4" t="str">
        <f>TEXT(A261,"mmmm")</f>
        <v>November</v>
      </c>
      <c r="D261" s="4">
        <f>Raw_Data!A261</f>
        <v>4</v>
      </c>
      <c r="E261" s="4" t="str">
        <f>Raw_Data!B261</f>
        <v>h</v>
      </c>
      <c r="F261" s="4">
        <f>Raw_Data!C261</f>
        <v>472.39119690000001</v>
      </c>
    </row>
    <row r="262" spans="1:6" thickTop="1" thickBot="1" x14ac:dyDescent="0.35">
      <c r="A262" s="5">
        <f>Raw_Data!D262</f>
        <v>44916</v>
      </c>
      <c r="B262" s="4">
        <f>YEAR(A262)</f>
        <v>2022</v>
      </c>
      <c r="C262" s="4" t="str">
        <f>TEXT(A262,"mmmm")</f>
        <v>December</v>
      </c>
      <c r="D262" s="4">
        <f>Raw_Data!A262</f>
        <v>74</v>
      </c>
      <c r="E262" s="4" t="str">
        <f>Raw_Data!B262</f>
        <v>f</v>
      </c>
      <c r="F262" s="4">
        <f>Raw_Data!C262</f>
        <v>531.28221410000003</v>
      </c>
    </row>
    <row r="263" spans="1:6" thickTop="1" thickBot="1" x14ac:dyDescent="0.35">
      <c r="A263" s="5">
        <f>Raw_Data!D263</f>
        <v>44576</v>
      </c>
      <c r="B263" s="4">
        <f>YEAR(A263)</f>
        <v>2022</v>
      </c>
      <c r="C263" s="4" t="str">
        <f>TEXT(A263,"mmmm")</f>
        <v>January</v>
      </c>
      <c r="D263" s="4">
        <f>Raw_Data!A263</f>
        <v>97</v>
      </c>
      <c r="E263" s="4" t="str">
        <f>Raw_Data!B263</f>
        <v>i</v>
      </c>
      <c r="F263" s="4">
        <f>Raw_Data!C263</f>
        <v>431.42504819999999</v>
      </c>
    </row>
    <row r="264" spans="1:6" thickTop="1" thickBot="1" x14ac:dyDescent="0.35">
      <c r="A264" s="5">
        <f>Raw_Data!D264</f>
        <v>44897</v>
      </c>
      <c r="B264" s="4">
        <f>YEAR(A264)</f>
        <v>2022</v>
      </c>
      <c r="C264" s="4" t="str">
        <f>TEXT(A264,"mmmm")</f>
        <v>December</v>
      </c>
      <c r="D264" s="4">
        <f>Raw_Data!A264</f>
        <v>5</v>
      </c>
      <c r="E264" s="4" t="str">
        <f>Raw_Data!B264</f>
        <v>b</v>
      </c>
      <c r="F264" s="4">
        <f>Raw_Data!C264</f>
        <v>726.82044570000005</v>
      </c>
    </row>
    <row r="265" spans="1:6" thickTop="1" thickBot="1" x14ac:dyDescent="0.35">
      <c r="A265" s="5">
        <f>Raw_Data!D265</f>
        <v>44899</v>
      </c>
      <c r="B265" s="4">
        <f>YEAR(A265)</f>
        <v>2022</v>
      </c>
      <c r="C265" s="4" t="str">
        <f>TEXT(A265,"mmmm")</f>
        <v>December</v>
      </c>
      <c r="D265" s="4">
        <f>Raw_Data!A265</f>
        <v>25</v>
      </c>
      <c r="E265" s="4" t="str">
        <f>Raw_Data!B265</f>
        <v>g</v>
      </c>
      <c r="F265" s="4">
        <f>Raw_Data!C265</f>
        <v>330.78394750000001</v>
      </c>
    </row>
    <row r="266" spans="1:6" thickTop="1" thickBot="1" x14ac:dyDescent="0.35">
      <c r="A266" s="5">
        <f>Raw_Data!D266</f>
        <v>44805</v>
      </c>
      <c r="B266" s="4">
        <f>YEAR(A266)</f>
        <v>2022</v>
      </c>
      <c r="C266" s="4" t="str">
        <f>TEXT(A266,"mmmm")</f>
        <v>September</v>
      </c>
      <c r="D266" s="4">
        <f>Raw_Data!A266</f>
        <v>8</v>
      </c>
      <c r="E266" s="4" t="str">
        <f>Raw_Data!B266</f>
        <v>g</v>
      </c>
      <c r="F266" s="4">
        <f>Raw_Data!C266</f>
        <v>558.78375140000003</v>
      </c>
    </row>
    <row r="267" spans="1:6" thickTop="1" thickBot="1" x14ac:dyDescent="0.35">
      <c r="A267" s="5">
        <f>Raw_Data!D267</f>
        <v>44572</v>
      </c>
      <c r="B267" s="4">
        <f>YEAR(A267)</f>
        <v>2022</v>
      </c>
      <c r="C267" s="4" t="str">
        <f>TEXT(A267,"mmmm")</f>
        <v>January</v>
      </c>
      <c r="D267" s="4">
        <f>Raw_Data!A267</f>
        <v>55</v>
      </c>
      <c r="E267" s="4" t="str">
        <f>Raw_Data!B267</f>
        <v>i</v>
      </c>
      <c r="F267" s="4">
        <f>Raw_Data!C267</f>
        <v>506.6407858</v>
      </c>
    </row>
    <row r="268" spans="1:6" thickTop="1" thickBot="1" x14ac:dyDescent="0.35">
      <c r="A268" s="5">
        <f>Raw_Data!D268</f>
        <v>44618</v>
      </c>
      <c r="B268" s="4">
        <f>YEAR(A268)</f>
        <v>2022</v>
      </c>
      <c r="C268" s="4" t="str">
        <f>TEXT(A268,"mmmm")</f>
        <v>February</v>
      </c>
      <c r="D268" s="4">
        <f>Raw_Data!A268</f>
        <v>89</v>
      </c>
      <c r="E268" s="4" t="str">
        <f>Raw_Data!B268</f>
        <v>c</v>
      </c>
      <c r="F268" s="4">
        <f>Raw_Data!C268</f>
        <v>359.5343876</v>
      </c>
    </row>
    <row r="269" spans="1:6" thickTop="1" thickBot="1" x14ac:dyDescent="0.35">
      <c r="A269" s="5">
        <f>Raw_Data!D269</f>
        <v>44722</v>
      </c>
      <c r="B269" s="4">
        <f>YEAR(A269)</f>
        <v>2022</v>
      </c>
      <c r="C269" s="4" t="str">
        <f>TEXT(A269,"mmmm")</f>
        <v>June</v>
      </c>
      <c r="D269" s="4">
        <f>Raw_Data!A269</f>
        <v>85</v>
      </c>
      <c r="E269" s="4" t="str">
        <f>Raw_Data!B269</f>
        <v>c</v>
      </c>
      <c r="F269" s="4">
        <f>Raw_Data!C269</f>
        <v>465.72024649999997</v>
      </c>
    </row>
    <row r="270" spans="1:6" thickTop="1" thickBot="1" x14ac:dyDescent="0.35">
      <c r="A270" s="5">
        <f>Raw_Data!D270</f>
        <v>44702</v>
      </c>
      <c r="B270" s="4">
        <f>YEAR(A270)</f>
        <v>2022</v>
      </c>
      <c r="C270" s="4" t="str">
        <f>TEXT(A270,"mmmm")</f>
        <v>May</v>
      </c>
      <c r="D270" s="4">
        <f>Raw_Data!A270</f>
        <v>45</v>
      </c>
      <c r="E270" s="4" t="str">
        <f>Raw_Data!B270</f>
        <v>e</v>
      </c>
      <c r="F270" s="4">
        <f>Raw_Data!C270</f>
        <v>428.67429820000001</v>
      </c>
    </row>
    <row r="271" spans="1:6" thickTop="1" thickBot="1" x14ac:dyDescent="0.35">
      <c r="A271" s="5">
        <f>Raw_Data!D271</f>
        <v>44562</v>
      </c>
      <c r="B271" s="4">
        <f>YEAR(A271)</f>
        <v>2022</v>
      </c>
      <c r="C271" s="4" t="str">
        <f>TEXT(A271,"mmmm")</f>
        <v>January</v>
      </c>
      <c r="D271" s="4">
        <f>Raw_Data!A271</f>
        <v>18</v>
      </c>
      <c r="E271" s="4" t="str">
        <f>Raw_Data!B271</f>
        <v>b</v>
      </c>
      <c r="F271" s="4">
        <f>Raw_Data!C271</f>
        <v>450.37894260000002</v>
      </c>
    </row>
    <row r="272" spans="1:6" thickTop="1" thickBot="1" x14ac:dyDescent="0.35">
      <c r="A272" s="5">
        <f>Raw_Data!D272</f>
        <v>44752</v>
      </c>
      <c r="B272" s="4">
        <f>YEAR(A272)</f>
        <v>2022</v>
      </c>
      <c r="C272" s="4" t="str">
        <f>TEXT(A272,"mmmm")</f>
        <v>July</v>
      </c>
      <c r="D272" s="4">
        <f>Raw_Data!A272</f>
        <v>42</v>
      </c>
      <c r="E272" s="4" t="str">
        <f>Raw_Data!B272</f>
        <v>d</v>
      </c>
      <c r="F272" s="4">
        <f>Raw_Data!C272</f>
        <v>432.83787439999998</v>
      </c>
    </row>
    <row r="273" spans="1:6" thickTop="1" thickBot="1" x14ac:dyDescent="0.35">
      <c r="A273" s="5">
        <f>Raw_Data!D273</f>
        <v>44677</v>
      </c>
      <c r="B273" s="4">
        <f>YEAR(A273)</f>
        <v>2022</v>
      </c>
      <c r="C273" s="4" t="str">
        <f>TEXT(A273,"mmmm")</f>
        <v>April</v>
      </c>
      <c r="D273" s="4">
        <f>Raw_Data!A273</f>
        <v>31</v>
      </c>
      <c r="E273" s="4" t="str">
        <f>Raw_Data!B273</f>
        <v>j</v>
      </c>
      <c r="F273" s="4">
        <f>Raw_Data!C273</f>
        <v>466.84505419999999</v>
      </c>
    </row>
    <row r="274" spans="1:6" thickTop="1" thickBot="1" x14ac:dyDescent="0.35">
      <c r="A274" s="5">
        <f>Raw_Data!D274</f>
        <v>44625</v>
      </c>
      <c r="B274" s="4">
        <f>YEAR(A274)</f>
        <v>2022</v>
      </c>
      <c r="C274" s="4" t="str">
        <f>TEXT(A274,"mmmm")</f>
        <v>March</v>
      </c>
      <c r="D274" s="4">
        <f>Raw_Data!A274</f>
        <v>6</v>
      </c>
      <c r="E274" s="4" t="str">
        <f>Raw_Data!B274</f>
        <v>a</v>
      </c>
      <c r="F274" s="4">
        <f>Raw_Data!C274</f>
        <v>517.12761149999994</v>
      </c>
    </row>
    <row r="275" spans="1:6" thickTop="1" thickBot="1" x14ac:dyDescent="0.35">
      <c r="A275" s="5">
        <f>Raw_Data!D275</f>
        <v>44811</v>
      </c>
      <c r="B275" s="4">
        <f>YEAR(A275)</f>
        <v>2022</v>
      </c>
      <c r="C275" s="4" t="str">
        <f>TEXT(A275,"mmmm")</f>
        <v>September</v>
      </c>
      <c r="D275" s="4">
        <f>Raw_Data!A275</f>
        <v>71</v>
      </c>
      <c r="E275" s="4" t="str">
        <f>Raw_Data!B275</f>
        <v>j</v>
      </c>
      <c r="F275" s="4">
        <f>Raw_Data!C275</f>
        <v>402.06076789999997</v>
      </c>
    </row>
    <row r="276" spans="1:6" thickTop="1" thickBot="1" x14ac:dyDescent="0.35">
      <c r="A276" s="5">
        <f>Raw_Data!D276</f>
        <v>44852</v>
      </c>
      <c r="B276" s="4">
        <f>YEAR(A276)</f>
        <v>2022</v>
      </c>
      <c r="C276" s="4" t="str">
        <f>TEXT(A276,"mmmm")</f>
        <v>October</v>
      </c>
      <c r="D276" s="4">
        <f>Raw_Data!A276</f>
        <v>61</v>
      </c>
      <c r="E276" s="4" t="str">
        <f>Raw_Data!B276</f>
        <v>e</v>
      </c>
      <c r="F276" s="4">
        <f>Raw_Data!C276</f>
        <v>532.09940700000004</v>
      </c>
    </row>
    <row r="277" spans="1:6" thickTop="1" thickBot="1" x14ac:dyDescent="0.35">
      <c r="A277" s="5">
        <f>Raw_Data!D277</f>
        <v>44581</v>
      </c>
      <c r="B277" s="4">
        <f>YEAR(A277)</f>
        <v>2022</v>
      </c>
      <c r="C277" s="4" t="str">
        <f>TEXT(A277,"mmmm")</f>
        <v>January</v>
      </c>
      <c r="D277" s="4">
        <f>Raw_Data!A277</f>
        <v>48</v>
      </c>
      <c r="E277" s="4" t="str">
        <f>Raw_Data!B277</f>
        <v>j</v>
      </c>
      <c r="F277" s="4">
        <f>Raw_Data!C277</f>
        <v>408.8128845</v>
      </c>
    </row>
    <row r="278" spans="1:6" thickTop="1" thickBot="1" x14ac:dyDescent="0.35">
      <c r="A278" s="5">
        <f>Raw_Data!D278</f>
        <v>44893</v>
      </c>
      <c r="B278" s="4">
        <f>YEAR(A278)</f>
        <v>2022</v>
      </c>
      <c r="C278" s="4" t="str">
        <f>TEXT(A278,"mmmm")</f>
        <v>November</v>
      </c>
      <c r="D278" s="4">
        <f>Raw_Data!A278</f>
        <v>17</v>
      </c>
      <c r="E278" s="4" t="str">
        <f>Raw_Data!B278</f>
        <v>h</v>
      </c>
      <c r="F278" s="4">
        <f>Raw_Data!C278</f>
        <v>632.08654279999996</v>
      </c>
    </row>
    <row r="279" spans="1:6" thickTop="1" thickBot="1" x14ac:dyDescent="0.35">
      <c r="A279" s="5">
        <f>Raw_Data!D279</f>
        <v>44897</v>
      </c>
      <c r="B279" s="4">
        <f>YEAR(A279)</f>
        <v>2022</v>
      </c>
      <c r="C279" s="4" t="str">
        <f>TEXT(A279,"mmmm")</f>
        <v>December</v>
      </c>
      <c r="D279" s="4">
        <f>Raw_Data!A279</f>
        <v>45</v>
      </c>
      <c r="E279" s="4" t="str">
        <f>Raw_Data!B279</f>
        <v>e</v>
      </c>
      <c r="F279" s="4">
        <f>Raw_Data!C279</f>
        <v>485.53014469999999</v>
      </c>
    </row>
    <row r="280" spans="1:6" thickTop="1" thickBot="1" x14ac:dyDescent="0.35">
      <c r="A280" s="5">
        <f>Raw_Data!D280</f>
        <v>44904</v>
      </c>
      <c r="B280" s="4">
        <f>YEAR(A280)</f>
        <v>2022</v>
      </c>
      <c r="C280" s="4" t="str">
        <f>TEXT(A280,"mmmm")</f>
        <v>December</v>
      </c>
      <c r="D280" s="4">
        <f>Raw_Data!A280</f>
        <v>92</v>
      </c>
      <c r="E280" s="4" t="str">
        <f>Raw_Data!B280</f>
        <v>f</v>
      </c>
      <c r="F280" s="4">
        <f>Raw_Data!C280</f>
        <v>402.8995486</v>
      </c>
    </row>
    <row r="281" spans="1:6" thickTop="1" thickBot="1" x14ac:dyDescent="0.35">
      <c r="A281" s="5">
        <f>Raw_Data!D281</f>
        <v>44629</v>
      </c>
      <c r="B281" s="4">
        <f>YEAR(A281)</f>
        <v>2022</v>
      </c>
      <c r="C281" s="4" t="str">
        <f>TEXT(A281,"mmmm")</f>
        <v>March</v>
      </c>
      <c r="D281" s="4">
        <f>Raw_Data!A281</f>
        <v>63</v>
      </c>
      <c r="E281" s="4" t="str">
        <f>Raw_Data!B281</f>
        <v>i</v>
      </c>
      <c r="F281" s="4">
        <f>Raw_Data!C281</f>
        <v>473.59292010000001</v>
      </c>
    </row>
    <row r="282" spans="1:6" thickTop="1" thickBot="1" x14ac:dyDescent="0.35">
      <c r="A282" s="5">
        <f>Raw_Data!D282</f>
        <v>44644</v>
      </c>
      <c r="B282" s="4">
        <f>YEAR(A282)</f>
        <v>2022</v>
      </c>
      <c r="C282" s="4" t="str">
        <f>TEXT(A282,"mmmm")</f>
        <v>March</v>
      </c>
      <c r="D282" s="4">
        <f>Raw_Data!A282</f>
        <v>53</v>
      </c>
      <c r="E282" s="4" t="str">
        <f>Raw_Data!B282</f>
        <v>c</v>
      </c>
      <c r="F282" s="4">
        <f>Raw_Data!C282</f>
        <v>573.83104519999995</v>
      </c>
    </row>
    <row r="283" spans="1:6" thickTop="1" thickBot="1" x14ac:dyDescent="0.35">
      <c r="A283" s="5">
        <f>Raw_Data!D283</f>
        <v>44880</v>
      </c>
      <c r="B283" s="4">
        <f>YEAR(A283)</f>
        <v>2022</v>
      </c>
      <c r="C283" s="4" t="str">
        <f>TEXT(A283,"mmmm")</f>
        <v>November</v>
      </c>
      <c r="D283" s="4">
        <f>Raw_Data!A283</f>
        <v>53</v>
      </c>
      <c r="E283" s="4" t="str">
        <f>Raw_Data!B283</f>
        <v>a</v>
      </c>
      <c r="F283" s="4">
        <f>Raw_Data!C283</f>
        <v>533.23746149999999</v>
      </c>
    </row>
    <row r="284" spans="1:6" thickTop="1" thickBot="1" x14ac:dyDescent="0.35">
      <c r="A284" s="5">
        <f>Raw_Data!D284</f>
        <v>44852</v>
      </c>
      <c r="B284" s="4">
        <f>YEAR(A284)</f>
        <v>2022</v>
      </c>
      <c r="C284" s="4" t="str">
        <f>TEXT(A284,"mmmm")</f>
        <v>October</v>
      </c>
      <c r="D284" s="4">
        <f>Raw_Data!A284</f>
        <v>63</v>
      </c>
      <c r="E284" s="4" t="str">
        <f>Raw_Data!B284</f>
        <v>i</v>
      </c>
      <c r="F284" s="4">
        <f>Raw_Data!C284</f>
        <v>465.59138589999998</v>
      </c>
    </row>
    <row r="285" spans="1:6" thickTop="1" thickBot="1" x14ac:dyDescent="0.35">
      <c r="A285" s="5">
        <f>Raw_Data!D285</f>
        <v>44595</v>
      </c>
      <c r="B285" s="4">
        <f>YEAR(A285)</f>
        <v>2022</v>
      </c>
      <c r="C285" s="4" t="str">
        <f>TEXT(A285,"mmmm")</f>
        <v>February</v>
      </c>
      <c r="D285" s="4">
        <f>Raw_Data!A285</f>
        <v>71</v>
      </c>
      <c r="E285" s="4" t="str">
        <f>Raw_Data!B285</f>
        <v>b</v>
      </c>
      <c r="F285" s="4">
        <f>Raw_Data!C285</f>
        <v>670.55927469999995</v>
      </c>
    </row>
    <row r="286" spans="1:6" thickTop="1" thickBot="1" x14ac:dyDescent="0.35">
      <c r="A286" s="5">
        <f>Raw_Data!D286</f>
        <v>44901</v>
      </c>
      <c r="B286" s="4">
        <f>YEAR(A286)</f>
        <v>2022</v>
      </c>
      <c r="C286" s="4" t="str">
        <f>TEXT(A286,"mmmm")</f>
        <v>December</v>
      </c>
      <c r="D286" s="4">
        <f>Raw_Data!A286</f>
        <v>84</v>
      </c>
      <c r="E286" s="4" t="str">
        <f>Raw_Data!B286</f>
        <v>a</v>
      </c>
      <c r="F286" s="4">
        <f>Raw_Data!C286</f>
        <v>530.6699036</v>
      </c>
    </row>
    <row r="287" spans="1:6" thickTop="1" thickBot="1" x14ac:dyDescent="0.35">
      <c r="A287" s="5">
        <f>Raw_Data!D287</f>
        <v>44715</v>
      </c>
      <c r="B287" s="4">
        <f>YEAR(A287)</f>
        <v>2022</v>
      </c>
      <c r="C287" s="4" t="str">
        <f>TEXT(A287,"mmmm")</f>
        <v>June</v>
      </c>
      <c r="D287" s="4">
        <f>Raw_Data!A287</f>
        <v>82</v>
      </c>
      <c r="E287" s="4" t="str">
        <f>Raw_Data!B287</f>
        <v>h</v>
      </c>
      <c r="F287" s="4">
        <f>Raw_Data!C287</f>
        <v>476.6193806</v>
      </c>
    </row>
    <row r="288" spans="1:6" thickTop="1" thickBot="1" x14ac:dyDescent="0.35">
      <c r="A288" s="5">
        <f>Raw_Data!D288</f>
        <v>44731</v>
      </c>
      <c r="B288" s="4">
        <f>YEAR(A288)</f>
        <v>2022</v>
      </c>
      <c r="C288" s="4" t="str">
        <f>TEXT(A288,"mmmm")</f>
        <v>June</v>
      </c>
      <c r="D288" s="4">
        <f>Raw_Data!A288</f>
        <v>93</v>
      </c>
      <c r="E288" s="4" t="str">
        <f>Raw_Data!B288</f>
        <v>i</v>
      </c>
      <c r="F288" s="4">
        <f>Raw_Data!C288</f>
        <v>442.76241659999999</v>
      </c>
    </row>
    <row r="289" spans="1:6" thickTop="1" thickBot="1" x14ac:dyDescent="0.35">
      <c r="A289" s="5">
        <f>Raw_Data!D289</f>
        <v>44874</v>
      </c>
      <c r="B289" s="4">
        <f>YEAR(A289)</f>
        <v>2022</v>
      </c>
      <c r="C289" s="4" t="str">
        <f>TEXT(A289,"mmmm")</f>
        <v>November</v>
      </c>
      <c r="D289" s="4">
        <f>Raw_Data!A289</f>
        <v>17</v>
      </c>
      <c r="E289" s="4" t="str">
        <f>Raw_Data!B289</f>
        <v>b</v>
      </c>
      <c r="F289" s="4">
        <f>Raw_Data!C289</f>
        <v>618.80789070000003</v>
      </c>
    </row>
    <row r="290" spans="1:6" thickTop="1" thickBot="1" x14ac:dyDescent="0.35">
      <c r="A290" s="5">
        <f>Raw_Data!D290</f>
        <v>44566</v>
      </c>
      <c r="B290" s="4">
        <f>YEAR(A290)</f>
        <v>2022</v>
      </c>
      <c r="C290" s="4" t="str">
        <f>TEXT(A290,"mmmm")</f>
        <v>January</v>
      </c>
      <c r="D290" s="4">
        <f>Raw_Data!A290</f>
        <v>97</v>
      </c>
      <c r="E290" s="4" t="str">
        <f>Raw_Data!B290</f>
        <v>c</v>
      </c>
      <c r="F290" s="4">
        <f>Raw_Data!C290</f>
        <v>554.82109009999999</v>
      </c>
    </row>
    <row r="291" spans="1:6" thickTop="1" thickBot="1" x14ac:dyDescent="0.35">
      <c r="A291" s="5">
        <f>Raw_Data!D291</f>
        <v>44583</v>
      </c>
      <c r="B291" s="4">
        <f>YEAR(A291)</f>
        <v>2022</v>
      </c>
      <c r="C291" s="4" t="str">
        <f>TEXT(A291,"mmmm")</f>
        <v>January</v>
      </c>
      <c r="D291" s="4">
        <f>Raw_Data!A291</f>
        <v>2</v>
      </c>
      <c r="E291" s="4" t="str">
        <f>Raw_Data!B291</f>
        <v>f</v>
      </c>
      <c r="F291" s="4">
        <f>Raw_Data!C291</f>
        <v>347.77698179999999</v>
      </c>
    </row>
    <row r="292" spans="1:6" thickTop="1" thickBot="1" x14ac:dyDescent="0.35">
      <c r="A292" s="5">
        <f>Raw_Data!D292</f>
        <v>44565</v>
      </c>
      <c r="B292" s="4">
        <f>YEAR(A292)</f>
        <v>2022</v>
      </c>
      <c r="C292" s="4" t="str">
        <f>TEXT(A292,"mmmm")</f>
        <v>January</v>
      </c>
      <c r="D292" s="4">
        <f>Raw_Data!A292</f>
        <v>49</v>
      </c>
      <c r="E292" s="4" t="str">
        <f>Raw_Data!B292</f>
        <v>a</v>
      </c>
      <c r="F292" s="4">
        <f>Raw_Data!C292</f>
        <v>602.86772580000002</v>
      </c>
    </row>
    <row r="293" spans="1:6" thickTop="1" thickBot="1" x14ac:dyDescent="0.35">
      <c r="A293" s="5">
        <f>Raw_Data!D293</f>
        <v>44913</v>
      </c>
      <c r="B293" s="4">
        <f>YEAR(A293)</f>
        <v>2022</v>
      </c>
      <c r="C293" s="4" t="str">
        <f>TEXT(A293,"mmmm")</f>
        <v>December</v>
      </c>
      <c r="D293" s="4">
        <f>Raw_Data!A293</f>
        <v>2</v>
      </c>
      <c r="E293" s="4" t="str">
        <f>Raw_Data!B293</f>
        <v>g</v>
      </c>
      <c r="F293" s="4">
        <f>Raw_Data!C293</f>
        <v>578.91937040000005</v>
      </c>
    </row>
    <row r="294" spans="1:6" thickTop="1" thickBot="1" x14ac:dyDescent="0.35">
      <c r="A294" s="5">
        <f>Raw_Data!D294</f>
        <v>44692</v>
      </c>
      <c r="B294" s="4">
        <f>YEAR(A294)</f>
        <v>2022</v>
      </c>
      <c r="C294" s="4" t="str">
        <f>TEXT(A294,"mmmm")</f>
        <v>May</v>
      </c>
      <c r="D294" s="4">
        <f>Raw_Data!A294</f>
        <v>13</v>
      </c>
      <c r="E294" s="4" t="str">
        <f>Raw_Data!B294</f>
        <v>b</v>
      </c>
      <c r="F294" s="4">
        <f>Raw_Data!C294</f>
        <v>534.09375939999995</v>
      </c>
    </row>
    <row r="295" spans="1:6" thickTop="1" thickBot="1" x14ac:dyDescent="0.35">
      <c r="A295" s="5">
        <f>Raw_Data!D295</f>
        <v>44792</v>
      </c>
      <c r="B295" s="4">
        <f>YEAR(A295)</f>
        <v>2022</v>
      </c>
      <c r="C295" s="4" t="str">
        <f>TEXT(A295,"mmmm")</f>
        <v>August</v>
      </c>
      <c r="D295" s="4">
        <f>Raw_Data!A295</f>
        <v>24</v>
      </c>
      <c r="E295" s="4" t="str">
        <f>Raw_Data!B295</f>
        <v>e</v>
      </c>
      <c r="F295" s="4">
        <f>Raw_Data!C295</f>
        <v>350.56333169999999</v>
      </c>
    </row>
    <row r="296" spans="1:6" thickTop="1" thickBot="1" x14ac:dyDescent="0.35">
      <c r="A296" s="5">
        <f>Raw_Data!D296</f>
        <v>44640</v>
      </c>
      <c r="B296" s="4">
        <f>YEAR(A296)</f>
        <v>2022</v>
      </c>
      <c r="C296" s="4" t="str">
        <f>TEXT(A296,"mmmm")</f>
        <v>March</v>
      </c>
      <c r="D296" s="4">
        <f>Raw_Data!A296</f>
        <v>49</v>
      </c>
      <c r="E296" s="4" t="str">
        <f>Raw_Data!B296</f>
        <v>j</v>
      </c>
      <c r="F296" s="4">
        <f>Raw_Data!C296</f>
        <v>477.44564070000001</v>
      </c>
    </row>
    <row r="297" spans="1:6" thickTop="1" thickBot="1" x14ac:dyDescent="0.35">
      <c r="A297" s="5">
        <f>Raw_Data!D297</f>
        <v>44778</v>
      </c>
      <c r="B297" s="4">
        <f>YEAR(A297)</f>
        <v>2022</v>
      </c>
      <c r="C297" s="4" t="str">
        <f>TEXT(A297,"mmmm")</f>
        <v>August</v>
      </c>
      <c r="D297" s="4">
        <f>Raw_Data!A297</f>
        <v>67</v>
      </c>
      <c r="E297" s="4" t="str">
        <f>Raw_Data!B297</f>
        <v>c</v>
      </c>
      <c r="F297" s="4">
        <f>Raw_Data!C297</f>
        <v>469.22629760000001</v>
      </c>
    </row>
    <row r="298" spans="1:6" thickTop="1" thickBot="1" x14ac:dyDescent="0.35">
      <c r="A298" s="5">
        <f>Raw_Data!D298</f>
        <v>44649</v>
      </c>
      <c r="B298" s="4">
        <f>YEAR(A298)</f>
        <v>2022</v>
      </c>
      <c r="C298" s="4" t="str">
        <f>TEXT(A298,"mmmm")</f>
        <v>March</v>
      </c>
      <c r="D298" s="4">
        <f>Raw_Data!A298</f>
        <v>82</v>
      </c>
      <c r="E298" s="4" t="str">
        <f>Raw_Data!B298</f>
        <v>g</v>
      </c>
      <c r="F298" s="4">
        <f>Raw_Data!C298</f>
        <v>517.76670820000004</v>
      </c>
    </row>
    <row r="299" spans="1:6" thickTop="1" thickBot="1" x14ac:dyDescent="0.35">
      <c r="A299" s="5">
        <f>Raw_Data!D299</f>
        <v>44807</v>
      </c>
      <c r="B299" s="4">
        <f>YEAR(A299)</f>
        <v>2022</v>
      </c>
      <c r="C299" s="4" t="str">
        <f>TEXT(A299,"mmmm")</f>
        <v>September</v>
      </c>
      <c r="D299" s="4">
        <f>Raw_Data!A299</f>
        <v>2</v>
      </c>
      <c r="E299" s="4" t="str">
        <f>Raw_Data!B299</f>
        <v>b</v>
      </c>
      <c r="F299" s="4">
        <f>Raw_Data!C299</f>
        <v>277.43365779999999</v>
      </c>
    </row>
    <row r="300" spans="1:6" thickTop="1" thickBot="1" x14ac:dyDescent="0.35">
      <c r="A300" s="5">
        <f>Raw_Data!D300</f>
        <v>44787</v>
      </c>
      <c r="B300" s="4">
        <f>YEAR(A300)</f>
        <v>2022</v>
      </c>
      <c r="C300" s="4" t="str">
        <f>TEXT(A300,"mmmm")</f>
        <v>August</v>
      </c>
      <c r="D300" s="4">
        <f>Raw_Data!A300</f>
        <v>37</v>
      </c>
      <c r="E300" s="4" t="str">
        <f>Raw_Data!B300</f>
        <v>h</v>
      </c>
      <c r="F300" s="4">
        <f>Raw_Data!C300</f>
        <v>597.47409519999997</v>
      </c>
    </row>
    <row r="301" spans="1:6" thickTop="1" thickBot="1" x14ac:dyDescent="0.35">
      <c r="A301" s="5">
        <f>Raw_Data!D301</f>
        <v>44732</v>
      </c>
      <c r="B301" s="4">
        <f>YEAR(A301)</f>
        <v>2022</v>
      </c>
      <c r="C301" s="4" t="str">
        <f>TEXT(A301,"mmmm")</f>
        <v>June</v>
      </c>
      <c r="D301" s="4">
        <f>Raw_Data!A301</f>
        <v>63</v>
      </c>
      <c r="E301" s="4" t="str">
        <f>Raw_Data!B301</f>
        <v>c</v>
      </c>
      <c r="F301" s="4">
        <f>Raw_Data!C301</f>
        <v>343.20861059999999</v>
      </c>
    </row>
    <row r="302" spans="1:6" thickTop="1" thickBot="1" x14ac:dyDescent="0.35">
      <c r="A302" s="5">
        <f>Raw_Data!D302</f>
        <v>44601</v>
      </c>
      <c r="B302" s="4">
        <f>YEAR(A302)</f>
        <v>2022</v>
      </c>
      <c r="C302" s="4" t="str">
        <f>TEXT(A302,"mmmm")</f>
        <v>February</v>
      </c>
      <c r="D302" s="4">
        <f>Raw_Data!A302</f>
        <v>76</v>
      </c>
      <c r="E302" s="4" t="str">
        <f>Raw_Data!B302</f>
        <v>d</v>
      </c>
      <c r="F302" s="4">
        <f>Raw_Data!C302</f>
        <v>470.98651649999999</v>
      </c>
    </row>
    <row r="303" spans="1:6" thickTop="1" thickBot="1" x14ac:dyDescent="0.35">
      <c r="A303" s="5">
        <f>Raw_Data!D303</f>
        <v>44805</v>
      </c>
      <c r="B303" s="4">
        <f>YEAR(A303)</f>
        <v>2022</v>
      </c>
      <c r="C303" s="4" t="str">
        <f>TEXT(A303,"mmmm")</f>
        <v>September</v>
      </c>
      <c r="D303" s="4">
        <f>Raw_Data!A303</f>
        <v>13</v>
      </c>
      <c r="E303" s="4" t="str">
        <f>Raw_Data!B303</f>
        <v>c</v>
      </c>
      <c r="F303" s="4">
        <f>Raw_Data!C303</f>
        <v>391.43375309999999</v>
      </c>
    </row>
    <row r="304" spans="1:6" thickTop="1" thickBot="1" x14ac:dyDescent="0.35">
      <c r="A304" s="5">
        <f>Raw_Data!D304</f>
        <v>44595</v>
      </c>
      <c r="B304" s="4">
        <f>YEAR(A304)</f>
        <v>2022</v>
      </c>
      <c r="C304" s="4" t="str">
        <f>TEXT(A304,"mmmm")</f>
        <v>February</v>
      </c>
      <c r="D304" s="4">
        <f>Raw_Data!A304</f>
        <v>42</v>
      </c>
      <c r="E304" s="4" t="str">
        <f>Raw_Data!B304</f>
        <v>c</v>
      </c>
      <c r="F304" s="4">
        <f>Raw_Data!C304</f>
        <v>451.28072889999999</v>
      </c>
    </row>
    <row r="305" spans="1:6" thickTop="1" thickBot="1" x14ac:dyDescent="0.35">
      <c r="A305" s="5">
        <f>Raw_Data!D305</f>
        <v>44867</v>
      </c>
      <c r="B305" s="4">
        <f>YEAR(A305)</f>
        <v>2022</v>
      </c>
      <c r="C305" s="4" t="str">
        <f>TEXT(A305,"mmmm")</f>
        <v>November</v>
      </c>
      <c r="D305" s="4">
        <f>Raw_Data!A305</f>
        <v>61</v>
      </c>
      <c r="E305" s="4" t="str">
        <f>Raw_Data!B305</f>
        <v>b</v>
      </c>
      <c r="F305" s="4">
        <f>Raw_Data!C305</f>
        <v>411.72272190000001</v>
      </c>
    </row>
    <row r="306" spans="1:6" thickTop="1" thickBot="1" x14ac:dyDescent="0.35">
      <c r="A306" s="5">
        <f>Raw_Data!D306</f>
        <v>44708</v>
      </c>
      <c r="B306" s="4">
        <f>YEAR(A306)</f>
        <v>2022</v>
      </c>
      <c r="C306" s="4" t="str">
        <f>TEXT(A306,"mmmm")</f>
        <v>May</v>
      </c>
      <c r="D306" s="4">
        <f>Raw_Data!A306</f>
        <v>70</v>
      </c>
      <c r="E306" s="4" t="str">
        <f>Raw_Data!B306</f>
        <v>d</v>
      </c>
      <c r="F306" s="4">
        <f>Raw_Data!C306</f>
        <v>518.6851868</v>
      </c>
    </row>
    <row r="307" spans="1:6" thickTop="1" thickBot="1" x14ac:dyDescent="0.35">
      <c r="A307" s="5">
        <f>Raw_Data!D307</f>
        <v>44607</v>
      </c>
      <c r="B307" s="4">
        <f>YEAR(A307)</f>
        <v>2022</v>
      </c>
      <c r="C307" s="4" t="str">
        <f>TEXT(A307,"mmmm")</f>
        <v>February</v>
      </c>
      <c r="D307" s="4">
        <f>Raw_Data!A307</f>
        <v>38</v>
      </c>
      <c r="E307" s="4" t="str">
        <f>Raw_Data!B307</f>
        <v>d</v>
      </c>
      <c r="F307" s="4">
        <f>Raw_Data!C307</f>
        <v>483.63609489999999</v>
      </c>
    </row>
    <row r="308" spans="1:6" thickTop="1" thickBot="1" x14ac:dyDescent="0.35">
      <c r="A308" s="5">
        <f>Raw_Data!D308</f>
        <v>44731</v>
      </c>
      <c r="B308" s="4">
        <f>YEAR(A308)</f>
        <v>2022</v>
      </c>
      <c r="C308" s="4" t="str">
        <f>TEXT(A308,"mmmm")</f>
        <v>June</v>
      </c>
      <c r="D308" s="4">
        <f>Raw_Data!A308</f>
        <v>64</v>
      </c>
      <c r="E308" s="4" t="str">
        <f>Raw_Data!B308</f>
        <v>f</v>
      </c>
      <c r="F308" s="4">
        <f>Raw_Data!C308</f>
        <v>491.16944189999998</v>
      </c>
    </row>
    <row r="309" spans="1:6" thickTop="1" thickBot="1" x14ac:dyDescent="0.35">
      <c r="A309" s="5">
        <f>Raw_Data!D309</f>
        <v>44564</v>
      </c>
      <c r="B309" s="4">
        <f>YEAR(A309)</f>
        <v>2022</v>
      </c>
      <c r="C309" s="4" t="str">
        <f>TEXT(A309,"mmmm")</f>
        <v>January</v>
      </c>
      <c r="D309" s="4">
        <f>Raw_Data!A309</f>
        <v>80</v>
      </c>
      <c r="E309" s="4" t="str">
        <f>Raw_Data!B309</f>
        <v>f</v>
      </c>
      <c r="F309" s="4">
        <f>Raw_Data!C309</f>
        <v>563.59174589999998</v>
      </c>
    </row>
    <row r="310" spans="1:6" thickTop="1" thickBot="1" x14ac:dyDescent="0.35">
      <c r="A310" s="5">
        <f>Raw_Data!D310</f>
        <v>44691</v>
      </c>
      <c r="B310" s="4">
        <f>YEAR(A310)</f>
        <v>2022</v>
      </c>
      <c r="C310" s="4" t="str">
        <f>TEXT(A310,"mmmm")</f>
        <v>May</v>
      </c>
      <c r="D310" s="4">
        <f>Raw_Data!A310</f>
        <v>99</v>
      </c>
      <c r="E310" s="4" t="str">
        <f>Raw_Data!B310</f>
        <v>c</v>
      </c>
      <c r="F310" s="4">
        <f>Raw_Data!C310</f>
        <v>599.61376099999995</v>
      </c>
    </row>
    <row r="311" spans="1:6" thickTop="1" thickBot="1" x14ac:dyDescent="0.35">
      <c r="A311" s="5">
        <f>Raw_Data!D311</f>
        <v>44599</v>
      </c>
      <c r="B311" s="4">
        <f>YEAR(A311)</f>
        <v>2022</v>
      </c>
      <c r="C311" s="4" t="str">
        <f>TEXT(A311,"mmmm")</f>
        <v>February</v>
      </c>
      <c r="D311" s="4">
        <f>Raw_Data!A311</f>
        <v>36</v>
      </c>
      <c r="E311" s="4" t="str">
        <f>Raw_Data!B311</f>
        <v>i</v>
      </c>
      <c r="F311" s="4">
        <f>Raw_Data!C311</f>
        <v>608.67298000000005</v>
      </c>
    </row>
    <row r="312" spans="1:6" thickTop="1" thickBot="1" x14ac:dyDescent="0.35">
      <c r="A312" s="5">
        <f>Raw_Data!D312</f>
        <v>44742</v>
      </c>
      <c r="B312" s="4">
        <f>YEAR(A312)</f>
        <v>2022</v>
      </c>
      <c r="C312" s="4" t="str">
        <f>TEXT(A312,"mmmm")</f>
        <v>June</v>
      </c>
      <c r="D312" s="4">
        <f>Raw_Data!A312</f>
        <v>91</v>
      </c>
      <c r="E312" s="4" t="str">
        <f>Raw_Data!B312</f>
        <v>e</v>
      </c>
      <c r="F312" s="4">
        <f>Raw_Data!C312</f>
        <v>547.68876150000006</v>
      </c>
    </row>
    <row r="313" spans="1:6" thickTop="1" thickBot="1" x14ac:dyDescent="0.35">
      <c r="A313" s="5">
        <f>Raw_Data!D313</f>
        <v>44892</v>
      </c>
      <c r="B313" s="4">
        <f>YEAR(A313)</f>
        <v>2022</v>
      </c>
      <c r="C313" s="4" t="str">
        <f>TEXT(A313,"mmmm")</f>
        <v>November</v>
      </c>
      <c r="D313" s="4">
        <f>Raw_Data!A313</f>
        <v>91</v>
      </c>
      <c r="E313" s="4" t="str">
        <f>Raw_Data!B313</f>
        <v>e</v>
      </c>
      <c r="F313" s="4">
        <f>Raw_Data!C313</f>
        <v>475.3184574</v>
      </c>
    </row>
    <row r="314" spans="1:6" thickTop="1" thickBot="1" x14ac:dyDescent="0.35">
      <c r="A314" s="5">
        <f>Raw_Data!D314</f>
        <v>44688</v>
      </c>
      <c r="B314" s="4">
        <f>YEAR(A314)</f>
        <v>2022</v>
      </c>
      <c r="C314" s="4" t="str">
        <f>TEXT(A314,"mmmm")</f>
        <v>May</v>
      </c>
      <c r="D314" s="4">
        <f>Raw_Data!A314</f>
        <v>35</v>
      </c>
      <c r="E314" s="4" t="str">
        <f>Raw_Data!B314</f>
        <v>h</v>
      </c>
      <c r="F314" s="4">
        <f>Raw_Data!C314</f>
        <v>412.0649128</v>
      </c>
    </row>
    <row r="315" spans="1:6" thickTop="1" thickBot="1" x14ac:dyDescent="0.35">
      <c r="A315" s="5">
        <f>Raw_Data!D315</f>
        <v>44765</v>
      </c>
      <c r="B315" s="4">
        <f>YEAR(A315)</f>
        <v>2022</v>
      </c>
      <c r="C315" s="4" t="str">
        <f>TEXT(A315,"mmmm")</f>
        <v>July</v>
      </c>
      <c r="D315" s="4">
        <f>Raw_Data!A315</f>
        <v>87</v>
      </c>
      <c r="E315" s="4" t="str">
        <f>Raw_Data!B315</f>
        <v>e</v>
      </c>
      <c r="F315" s="4">
        <f>Raw_Data!C315</f>
        <v>382.52348590000003</v>
      </c>
    </row>
    <row r="316" spans="1:6" thickTop="1" thickBot="1" x14ac:dyDescent="0.35">
      <c r="A316" s="5">
        <f>Raw_Data!D316</f>
        <v>44591</v>
      </c>
      <c r="B316" s="4">
        <f>YEAR(A316)</f>
        <v>2022</v>
      </c>
      <c r="C316" s="4" t="str">
        <f>TEXT(A316,"mmmm")</f>
        <v>January</v>
      </c>
      <c r="D316" s="4">
        <f>Raw_Data!A316</f>
        <v>67</v>
      </c>
      <c r="E316" s="4" t="str">
        <f>Raw_Data!B316</f>
        <v>e</v>
      </c>
      <c r="F316" s="4">
        <f>Raw_Data!C316</f>
        <v>631.35306330000003</v>
      </c>
    </row>
    <row r="317" spans="1:6" thickTop="1" thickBot="1" x14ac:dyDescent="0.35">
      <c r="A317" s="5">
        <f>Raw_Data!D317</f>
        <v>44830</v>
      </c>
      <c r="B317" s="4">
        <f>YEAR(A317)</f>
        <v>2022</v>
      </c>
      <c r="C317" s="4" t="str">
        <f>TEXT(A317,"mmmm")</f>
        <v>September</v>
      </c>
      <c r="D317" s="4">
        <f>Raw_Data!A317</f>
        <v>95</v>
      </c>
      <c r="E317" s="4" t="str">
        <f>Raw_Data!B317</f>
        <v>c</v>
      </c>
      <c r="F317" s="4">
        <f>Raw_Data!C317</f>
        <v>510.16349559999998</v>
      </c>
    </row>
    <row r="318" spans="1:6" thickTop="1" thickBot="1" x14ac:dyDescent="0.35">
      <c r="A318" s="5">
        <f>Raw_Data!D318</f>
        <v>44636</v>
      </c>
      <c r="B318" s="4">
        <f>YEAR(A318)</f>
        <v>2022</v>
      </c>
      <c r="C318" s="4" t="str">
        <f>TEXT(A318,"mmmm")</f>
        <v>March</v>
      </c>
      <c r="D318" s="4">
        <f>Raw_Data!A318</f>
        <v>48</v>
      </c>
      <c r="E318" s="4" t="str">
        <f>Raw_Data!B318</f>
        <v>g</v>
      </c>
      <c r="F318" s="4">
        <f>Raw_Data!C318</f>
        <v>691.77559759999997</v>
      </c>
    </row>
    <row r="319" spans="1:6" thickTop="1" thickBot="1" x14ac:dyDescent="0.35">
      <c r="A319" s="5">
        <f>Raw_Data!D319</f>
        <v>44894</v>
      </c>
      <c r="B319" s="4">
        <f>YEAR(A319)</f>
        <v>2022</v>
      </c>
      <c r="C319" s="4" t="str">
        <f>TEXT(A319,"mmmm")</f>
        <v>November</v>
      </c>
      <c r="D319" s="4">
        <f>Raw_Data!A319</f>
        <v>66</v>
      </c>
      <c r="E319" s="4" t="str">
        <f>Raw_Data!B319</f>
        <v>a</v>
      </c>
      <c r="F319" s="4">
        <f>Raw_Data!C319</f>
        <v>577.20552580000003</v>
      </c>
    </row>
    <row r="320" spans="1:6" thickTop="1" thickBot="1" x14ac:dyDescent="0.35">
      <c r="A320" s="5">
        <f>Raw_Data!D320</f>
        <v>44774</v>
      </c>
      <c r="B320" s="4">
        <f>YEAR(A320)</f>
        <v>2022</v>
      </c>
      <c r="C320" s="4" t="str">
        <f>TEXT(A320,"mmmm")</f>
        <v>August</v>
      </c>
      <c r="D320" s="4">
        <f>Raw_Data!A320</f>
        <v>23</v>
      </c>
      <c r="E320" s="4" t="str">
        <f>Raw_Data!B320</f>
        <v>b</v>
      </c>
      <c r="F320" s="4">
        <f>Raw_Data!C320</f>
        <v>560.81793719999996</v>
      </c>
    </row>
    <row r="321" spans="1:6" thickTop="1" thickBot="1" x14ac:dyDescent="0.35">
      <c r="A321" s="5">
        <f>Raw_Data!D321</f>
        <v>44827</v>
      </c>
      <c r="B321" s="4">
        <f>YEAR(A321)</f>
        <v>2022</v>
      </c>
      <c r="C321" s="4" t="str">
        <f>TEXT(A321,"mmmm")</f>
        <v>September</v>
      </c>
      <c r="D321" s="4">
        <f>Raw_Data!A321</f>
        <v>67</v>
      </c>
      <c r="E321" s="4" t="str">
        <f>Raw_Data!B321</f>
        <v>a</v>
      </c>
      <c r="F321" s="4">
        <f>Raw_Data!C321</f>
        <v>485.019136</v>
      </c>
    </row>
    <row r="322" spans="1:6" thickTop="1" thickBot="1" x14ac:dyDescent="0.35">
      <c r="A322" s="5">
        <f>Raw_Data!D322</f>
        <v>44705</v>
      </c>
      <c r="B322" s="4">
        <f>YEAR(A322)</f>
        <v>2022</v>
      </c>
      <c r="C322" s="4" t="str">
        <f>TEXT(A322,"mmmm")</f>
        <v>May</v>
      </c>
      <c r="D322" s="4">
        <f>Raw_Data!A322</f>
        <v>9</v>
      </c>
      <c r="E322" s="4" t="str">
        <f>Raw_Data!B322</f>
        <v>h</v>
      </c>
      <c r="F322" s="4">
        <f>Raw_Data!C322</f>
        <v>590.29537849999997</v>
      </c>
    </row>
    <row r="323" spans="1:6" thickTop="1" thickBot="1" x14ac:dyDescent="0.35">
      <c r="A323" s="5">
        <f>Raw_Data!D323</f>
        <v>44798</v>
      </c>
      <c r="B323" s="4">
        <f>YEAR(A323)</f>
        <v>2022</v>
      </c>
      <c r="C323" s="4" t="str">
        <f>TEXT(A323,"mmmm")</f>
        <v>August</v>
      </c>
      <c r="D323" s="4">
        <f>Raw_Data!A323</f>
        <v>61</v>
      </c>
      <c r="E323" s="4" t="str">
        <f>Raw_Data!B323</f>
        <v>a</v>
      </c>
      <c r="F323" s="4">
        <f>Raw_Data!C323</f>
        <v>600.6861854</v>
      </c>
    </row>
    <row r="324" spans="1:6" thickTop="1" thickBot="1" x14ac:dyDescent="0.35">
      <c r="A324" s="5">
        <f>Raw_Data!D324</f>
        <v>44742</v>
      </c>
      <c r="B324" s="4">
        <f>YEAR(A324)</f>
        <v>2022</v>
      </c>
      <c r="C324" s="4" t="str">
        <f>TEXT(A324,"mmmm")</f>
        <v>June</v>
      </c>
      <c r="D324" s="4">
        <f>Raw_Data!A324</f>
        <v>39</v>
      </c>
      <c r="E324" s="4" t="str">
        <f>Raw_Data!B324</f>
        <v>b</v>
      </c>
      <c r="F324" s="4">
        <f>Raw_Data!C324</f>
        <v>289.55411229999999</v>
      </c>
    </row>
    <row r="325" spans="1:6" thickTop="1" thickBot="1" x14ac:dyDescent="0.35">
      <c r="A325" s="5">
        <f>Raw_Data!D325</f>
        <v>44618</v>
      </c>
      <c r="B325" s="4">
        <f>YEAR(A325)</f>
        <v>2022</v>
      </c>
      <c r="C325" s="4" t="str">
        <f>TEXT(A325,"mmmm")</f>
        <v>February</v>
      </c>
      <c r="D325" s="4">
        <f>Raw_Data!A325</f>
        <v>94</v>
      </c>
      <c r="E325" s="4" t="str">
        <f>Raw_Data!B325</f>
        <v>j</v>
      </c>
      <c r="F325" s="4">
        <f>Raw_Data!C325</f>
        <v>494.46370710000002</v>
      </c>
    </row>
    <row r="326" spans="1:6" thickTop="1" thickBot="1" x14ac:dyDescent="0.35">
      <c r="A326" s="5">
        <f>Raw_Data!D326</f>
        <v>44568</v>
      </c>
      <c r="B326" s="4">
        <f>YEAR(A326)</f>
        <v>2022</v>
      </c>
      <c r="C326" s="4" t="str">
        <f>TEXT(A326,"mmmm")</f>
        <v>January</v>
      </c>
      <c r="D326" s="4">
        <f>Raw_Data!A326</f>
        <v>31</v>
      </c>
      <c r="E326" s="4" t="str">
        <f>Raw_Data!B326</f>
        <v>b</v>
      </c>
      <c r="F326" s="4">
        <f>Raw_Data!C326</f>
        <v>485.72573720000003</v>
      </c>
    </row>
    <row r="327" spans="1:6" thickTop="1" thickBot="1" x14ac:dyDescent="0.35">
      <c r="A327" s="5">
        <f>Raw_Data!D327</f>
        <v>44724</v>
      </c>
      <c r="B327" s="4">
        <f>YEAR(A327)</f>
        <v>2022</v>
      </c>
      <c r="C327" s="4" t="str">
        <f>TEXT(A327,"mmmm")</f>
        <v>June</v>
      </c>
      <c r="D327" s="4">
        <f>Raw_Data!A327</f>
        <v>94</v>
      </c>
      <c r="E327" s="4" t="str">
        <f>Raw_Data!B327</f>
        <v>f</v>
      </c>
      <c r="F327" s="4">
        <f>Raw_Data!C327</f>
        <v>544.8182395</v>
      </c>
    </row>
    <row r="328" spans="1:6" thickTop="1" thickBot="1" x14ac:dyDescent="0.35">
      <c r="A328" s="5">
        <f>Raw_Data!D328</f>
        <v>44655</v>
      </c>
      <c r="B328" s="4">
        <f>YEAR(A328)</f>
        <v>2022</v>
      </c>
      <c r="C328" s="4" t="str">
        <f>TEXT(A328,"mmmm")</f>
        <v>April</v>
      </c>
      <c r="D328" s="4">
        <f>Raw_Data!A328</f>
        <v>73</v>
      </c>
      <c r="E328" s="4" t="str">
        <f>Raw_Data!B328</f>
        <v>c</v>
      </c>
      <c r="F328" s="4">
        <f>Raw_Data!C328</f>
        <v>693.78385419999995</v>
      </c>
    </row>
    <row r="329" spans="1:6" thickTop="1" thickBot="1" x14ac:dyDescent="0.35">
      <c r="A329" s="5">
        <f>Raw_Data!D329</f>
        <v>44641</v>
      </c>
      <c r="B329" s="4">
        <f>YEAR(A329)</f>
        <v>2022</v>
      </c>
      <c r="C329" s="4" t="str">
        <f>TEXT(A329,"mmmm")</f>
        <v>March</v>
      </c>
      <c r="D329" s="4">
        <f>Raw_Data!A329</f>
        <v>36</v>
      </c>
      <c r="E329" s="4" t="str">
        <f>Raw_Data!B329</f>
        <v>h</v>
      </c>
      <c r="F329" s="4">
        <f>Raw_Data!C329</f>
        <v>693.04827880000005</v>
      </c>
    </row>
    <row r="330" spans="1:6" thickTop="1" thickBot="1" x14ac:dyDescent="0.35">
      <c r="A330" s="5">
        <f>Raw_Data!D330</f>
        <v>44635</v>
      </c>
      <c r="B330" s="4">
        <f>YEAR(A330)</f>
        <v>2022</v>
      </c>
      <c r="C330" s="4" t="str">
        <f>TEXT(A330,"mmmm")</f>
        <v>March</v>
      </c>
      <c r="D330" s="4">
        <f>Raw_Data!A330</f>
        <v>98</v>
      </c>
      <c r="E330" s="4" t="str">
        <f>Raw_Data!B330</f>
        <v>a</v>
      </c>
      <c r="F330" s="4">
        <f>Raw_Data!C330</f>
        <v>563.75763840000002</v>
      </c>
    </row>
    <row r="331" spans="1:6" thickTop="1" thickBot="1" x14ac:dyDescent="0.35">
      <c r="A331" s="5">
        <f>Raw_Data!D331</f>
        <v>44898</v>
      </c>
      <c r="B331" s="4">
        <f>YEAR(A331)</f>
        <v>2022</v>
      </c>
      <c r="C331" s="4" t="str">
        <f>TEXT(A331,"mmmm")</f>
        <v>December</v>
      </c>
      <c r="D331" s="4">
        <f>Raw_Data!A331</f>
        <v>22</v>
      </c>
      <c r="E331" s="4" t="str">
        <f>Raw_Data!B331</f>
        <v>f</v>
      </c>
      <c r="F331" s="4">
        <f>Raw_Data!C331</f>
        <v>537.85422770000002</v>
      </c>
    </row>
    <row r="332" spans="1:6" thickTop="1" thickBot="1" x14ac:dyDescent="0.35">
      <c r="A332" s="5">
        <f>Raw_Data!D332</f>
        <v>44626</v>
      </c>
      <c r="B332" s="4">
        <f>YEAR(A332)</f>
        <v>2022</v>
      </c>
      <c r="C332" s="4" t="str">
        <f>TEXT(A332,"mmmm")</f>
        <v>March</v>
      </c>
      <c r="D332" s="4">
        <f>Raw_Data!A332</f>
        <v>44</v>
      </c>
      <c r="E332" s="4" t="str">
        <f>Raw_Data!B332</f>
        <v>h</v>
      </c>
      <c r="F332" s="4">
        <f>Raw_Data!C332</f>
        <v>764.41715439999996</v>
      </c>
    </row>
    <row r="333" spans="1:6" thickTop="1" thickBot="1" x14ac:dyDescent="0.35">
      <c r="A333" s="5">
        <f>Raw_Data!D333</f>
        <v>44789</v>
      </c>
      <c r="B333" s="4">
        <f>YEAR(A333)</f>
        <v>2022</v>
      </c>
      <c r="C333" s="4" t="str">
        <f>TEXT(A333,"mmmm")</f>
        <v>August</v>
      </c>
      <c r="D333" s="4">
        <f>Raw_Data!A333</f>
        <v>41</v>
      </c>
      <c r="E333" s="4" t="str">
        <f>Raw_Data!B333</f>
        <v>a</v>
      </c>
      <c r="F333" s="4">
        <f>Raw_Data!C333</f>
        <v>572.51573010000004</v>
      </c>
    </row>
    <row r="334" spans="1:6" thickTop="1" thickBot="1" x14ac:dyDescent="0.35">
      <c r="A334" s="5">
        <f>Raw_Data!D334</f>
        <v>44621</v>
      </c>
      <c r="B334" s="4">
        <f>YEAR(A334)</f>
        <v>2022</v>
      </c>
      <c r="C334" s="4" t="str">
        <f>TEXT(A334,"mmmm")</f>
        <v>March</v>
      </c>
      <c r="D334" s="4">
        <f>Raw_Data!A334</f>
        <v>92</v>
      </c>
      <c r="E334" s="4" t="str">
        <f>Raw_Data!B334</f>
        <v>d</v>
      </c>
      <c r="F334" s="4">
        <f>Raw_Data!C334</f>
        <v>369.05379040000003</v>
      </c>
    </row>
    <row r="335" spans="1:6" thickTop="1" thickBot="1" x14ac:dyDescent="0.35">
      <c r="A335" s="5">
        <f>Raw_Data!D335</f>
        <v>44621</v>
      </c>
      <c r="B335" s="4">
        <f>YEAR(A335)</f>
        <v>2022</v>
      </c>
      <c r="C335" s="4" t="str">
        <f>TEXT(A335,"mmmm")</f>
        <v>March</v>
      </c>
      <c r="D335" s="4">
        <f>Raw_Data!A335</f>
        <v>93</v>
      </c>
      <c r="E335" s="4" t="str">
        <f>Raw_Data!B335</f>
        <v>h</v>
      </c>
      <c r="F335" s="4">
        <f>Raw_Data!C335</f>
        <v>413.11367799999999</v>
      </c>
    </row>
    <row r="336" spans="1:6" thickTop="1" thickBot="1" x14ac:dyDescent="0.35">
      <c r="A336" s="5">
        <f>Raw_Data!D336</f>
        <v>44714</v>
      </c>
      <c r="B336" s="4">
        <f>YEAR(A336)</f>
        <v>2022</v>
      </c>
      <c r="C336" s="4" t="str">
        <f>TEXT(A336,"mmmm")</f>
        <v>June</v>
      </c>
      <c r="D336" s="4">
        <f>Raw_Data!A336</f>
        <v>43</v>
      </c>
      <c r="E336" s="4" t="str">
        <f>Raw_Data!B336</f>
        <v>c</v>
      </c>
      <c r="F336" s="4">
        <f>Raw_Data!C336</f>
        <v>498.64311429999998</v>
      </c>
    </row>
    <row r="337" spans="1:6" thickTop="1" thickBot="1" x14ac:dyDescent="0.35">
      <c r="A337" s="5">
        <f>Raw_Data!D337</f>
        <v>44691</v>
      </c>
      <c r="B337" s="4">
        <f>YEAR(A337)</f>
        <v>2022</v>
      </c>
      <c r="C337" s="4" t="str">
        <f>TEXT(A337,"mmmm")</f>
        <v>May</v>
      </c>
      <c r="D337" s="4">
        <f>Raw_Data!A337</f>
        <v>39</v>
      </c>
      <c r="E337" s="4" t="str">
        <f>Raw_Data!B337</f>
        <v>a</v>
      </c>
      <c r="F337" s="4">
        <f>Raw_Data!C337</f>
        <v>599.94720900000004</v>
      </c>
    </row>
    <row r="338" spans="1:6" thickTop="1" thickBot="1" x14ac:dyDescent="0.35">
      <c r="A338" s="5">
        <f>Raw_Data!D338</f>
        <v>44854</v>
      </c>
      <c r="B338" s="4">
        <f>YEAR(A338)</f>
        <v>2022</v>
      </c>
      <c r="C338" s="4" t="str">
        <f>TEXT(A338,"mmmm")</f>
        <v>October</v>
      </c>
      <c r="D338" s="4">
        <f>Raw_Data!A338</f>
        <v>37</v>
      </c>
      <c r="E338" s="4" t="str">
        <f>Raw_Data!B338</f>
        <v>f</v>
      </c>
      <c r="F338" s="4">
        <f>Raw_Data!C338</f>
        <v>441.1109831</v>
      </c>
    </row>
    <row r="339" spans="1:6" thickTop="1" thickBot="1" x14ac:dyDescent="0.35">
      <c r="A339" s="5">
        <f>Raw_Data!D339</f>
        <v>44886</v>
      </c>
      <c r="B339" s="4">
        <f>YEAR(A339)</f>
        <v>2022</v>
      </c>
      <c r="C339" s="4" t="str">
        <f>TEXT(A339,"mmmm")</f>
        <v>November</v>
      </c>
      <c r="D339" s="4">
        <f>Raw_Data!A339</f>
        <v>33</v>
      </c>
      <c r="E339" s="4" t="str">
        <f>Raw_Data!B339</f>
        <v>c</v>
      </c>
      <c r="F339" s="4">
        <f>Raw_Data!C339</f>
        <v>554.36924629999999</v>
      </c>
    </row>
    <row r="340" spans="1:6" thickTop="1" thickBot="1" x14ac:dyDescent="0.35">
      <c r="A340" s="5">
        <f>Raw_Data!D340</f>
        <v>44676</v>
      </c>
      <c r="B340" s="4">
        <f>YEAR(A340)</f>
        <v>2022</v>
      </c>
      <c r="C340" s="4" t="str">
        <f>TEXT(A340,"mmmm")</f>
        <v>April</v>
      </c>
      <c r="D340" s="4">
        <f>Raw_Data!A340</f>
        <v>83</v>
      </c>
      <c r="E340" s="4" t="str">
        <f>Raw_Data!B340</f>
        <v>e</v>
      </c>
      <c r="F340" s="4">
        <f>Raw_Data!C340</f>
        <v>366.2332624</v>
      </c>
    </row>
    <row r="341" spans="1:6" thickTop="1" thickBot="1" x14ac:dyDescent="0.35">
      <c r="A341" s="5">
        <f>Raw_Data!D341</f>
        <v>44807</v>
      </c>
      <c r="B341" s="4">
        <f>YEAR(A341)</f>
        <v>2022</v>
      </c>
      <c r="C341" s="4" t="str">
        <f>TEXT(A341,"mmmm")</f>
        <v>September</v>
      </c>
      <c r="D341" s="4">
        <f>Raw_Data!A341</f>
        <v>12</v>
      </c>
      <c r="E341" s="4" t="str">
        <f>Raw_Data!B341</f>
        <v>a</v>
      </c>
      <c r="F341" s="4">
        <f>Raw_Data!C341</f>
        <v>529.30553069999996</v>
      </c>
    </row>
    <row r="342" spans="1:6" thickTop="1" thickBot="1" x14ac:dyDescent="0.35">
      <c r="A342" s="5">
        <f>Raw_Data!D342</f>
        <v>44799</v>
      </c>
      <c r="B342" s="4">
        <f>YEAR(A342)</f>
        <v>2022</v>
      </c>
      <c r="C342" s="4" t="str">
        <f>TEXT(A342,"mmmm")</f>
        <v>August</v>
      </c>
      <c r="D342" s="4">
        <f>Raw_Data!A342</f>
        <v>98</v>
      </c>
      <c r="E342" s="4" t="str">
        <f>Raw_Data!B342</f>
        <v>f</v>
      </c>
      <c r="F342" s="4">
        <f>Raw_Data!C342</f>
        <v>472.97681640000002</v>
      </c>
    </row>
    <row r="343" spans="1:6" thickTop="1" thickBot="1" x14ac:dyDescent="0.35">
      <c r="A343" s="5">
        <f>Raw_Data!D343</f>
        <v>44632</v>
      </c>
      <c r="B343" s="4">
        <f>YEAR(A343)</f>
        <v>2022</v>
      </c>
      <c r="C343" s="4" t="str">
        <f>TEXT(A343,"mmmm")</f>
        <v>March</v>
      </c>
      <c r="D343" s="4">
        <f>Raw_Data!A343</f>
        <v>21</v>
      </c>
      <c r="E343" s="4" t="str">
        <f>Raw_Data!B343</f>
        <v>e</v>
      </c>
      <c r="F343" s="4">
        <f>Raw_Data!C343</f>
        <v>631.00522490000003</v>
      </c>
    </row>
    <row r="344" spans="1:6" thickTop="1" thickBot="1" x14ac:dyDescent="0.35">
      <c r="A344" s="5">
        <f>Raw_Data!D344</f>
        <v>44595</v>
      </c>
      <c r="B344" s="4">
        <f>YEAR(A344)</f>
        <v>2022</v>
      </c>
      <c r="C344" s="4" t="str">
        <f>TEXT(A344,"mmmm")</f>
        <v>February</v>
      </c>
      <c r="D344" s="4">
        <f>Raw_Data!A344</f>
        <v>81</v>
      </c>
      <c r="E344" s="4" t="str">
        <f>Raw_Data!B344</f>
        <v>a</v>
      </c>
      <c r="F344" s="4">
        <f>Raw_Data!C344</f>
        <v>669.31887589999997</v>
      </c>
    </row>
    <row r="345" spans="1:6" thickTop="1" thickBot="1" x14ac:dyDescent="0.35">
      <c r="A345" s="5">
        <f>Raw_Data!D345</f>
        <v>44751</v>
      </c>
      <c r="B345" s="4">
        <f>YEAR(A345)</f>
        <v>2022</v>
      </c>
      <c r="C345" s="4" t="str">
        <f>TEXT(A345,"mmmm")</f>
        <v>July</v>
      </c>
      <c r="D345" s="4">
        <f>Raw_Data!A345</f>
        <v>76</v>
      </c>
      <c r="E345" s="4" t="str">
        <f>Raw_Data!B345</f>
        <v>h</v>
      </c>
      <c r="F345" s="4">
        <f>Raw_Data!C345</f>
        <v>515.03141919999996</v>
      </c>
    </row>
    <row r="346" spans="1:6" thickTop="1" thickBot="1" x14ac:dyDescent="0.35">
      <c r="A346" s="5">
        <f>Raw_Data!D346</f>
        <v>44799</v>
      </c>
      <c r="B346" s="4">
        <f>YEAR(A346)</f>
        <v>2022</v>
      </c>
      <c r="C346" s="4" t="str">
        <f>TEXT(A346,"mmmm")</f>
        <v>August</v>
      </c>
      <c r="D346" s="4">
        <f>Raw_Data!A346</f>
        <v>94</v>
      </c>
      <c r="E346" s="4" t="str">
        <f>Raw_Data!B346</f>
        <v>i</v>
      </c>
      <c r="F346" s="4">
        <f>Raw_Data!C346</f>
        <v>531.45543250000003</v>
      </c>
    </row>
    <row r="347" spans="1:6" thickTop="1" thickBot="1" x14ac:dyDescent="0.35">
      <c r="A347" s="5">
        <f>Raw_Data!D347</f>
        <v>44853</v>
      </c>
      <c r="B347" s="4">
        <f>YEAR(A347)</f>
        <v>2022</v>
      </c>
      <c r="C347" s="4" t="str">
        <f>TEXT(A347,"mmmm")</f>
        <v>October</v>
      </c>
      <c r="D347" s="4">
        <f>Raw_Data!A347</f>
        <v>35</v>
      </c>
      <c r="E347" s="4" t="str">
        <f>Raw_Data!B347</f>
        <v>e</v>
      </c>
      <c r="F347" s="4">
        <f>Raw_Data!C347</f>
        <v>494.80055679999998</v>
      </c>
    </row>
    <row r="348" spans="1:6" thickTop="1" thickBot="1" x14ac:dyDescent="0.35">
      <c r="A348" s="5">
        <f>Raw_Data!D348</f>
        <v>44925</v>
      </c>
      <c r="B348" s="4">
        <f>YEAR(A348)</f>
        <v>2022</v>
      </c>
      <c r="C348" s="4" t="str">
        <f>TEXT(A348,"mmmm")</f>
        <v>December</v>
      </c>
      <c r="D348" s="4">
        <f>Raw_Data!A348</f>
        <v>30</v>
      </c>
      <c r="E348" s="4" t="str">
        <f>Raw_Data!B348</f>
        <v>e</v>
      </c>
      <c r="F348" s="4">
        <f>Raw_Data!C348</f>
        <v>595.61090279999996</v>
      </c>
    </row>
    <row r="349" spans="1:6" thickTop="1" thickBot="1" x14ac:dyDescent="0.35">
      <c r="A349" s="5">
        <f>Raw_Data!D349</f>
        <v>44609</v>
      </c>
      <c r="B349" s="4">
        <f>YEAR(A349)</f>
        <v>2022</v>
      </c>
      <c r="C349" s="4" t="str">
        <f>TEXT(A349,"mmmm")</f>
        <v>February</v>
      </c>
      <c r="D349" s="4">
        <f>Raw_Data!A349</f>
        <v>89</v>
      </c>
      <c r="E349" s="4" t="str">
        <f>Raw_Data!B349</f>
        <v>h</v>
      </c>
      <c r="F349" s="4">
        <f>Raw_Data!C349</f>
        <v>519.39071909999996</v>
      </c>
    </row>
    <row r="350" spans="1:6" thickTop="1" thickBot="1" x14ac:dyDescent="0.35">
      <c r="A350" s="5">
        <f>Raw_Data!D350</f>
        <v>44749</v>
      </c>
      <c r="B350" s="4">
        <f>YEAR(A350)</f>
        <v>2022</v>
      </c>
      <c r="C350" s="4" t="str">
        <f>TEXT(A350,"mmmm")</f>
        <v>July</v>
      </c>
      <c r="D350" s="4">
        <f>Raw_Data!A350</f>
        <v>50</v>
      </c>
      <c r="E350" s="4" t="str">
        <f>Raw_Data!B350</f>
        <v>d</v>
      </c>
      <c r="F350" s="4">
        <f>Raw_Data!C350</f>
        <v>445.19689899999997</v>
      </c>
    </row>
    <row r="351" spans="1:6" thickTop="1" thickBot="1" x14ac:dyDescent="0.35">
      <c r="A351" s="5">
        <f>Raw_Data!D351</f>
        <v>44658</v>
      </c>
      <c r="B351" s="4">
        <f>YEAR(A351)</f>
        <v>2022</v>
      </c>
      <c r="C351" s="4" t="str">
        <f>TEXT(A351,"mmmm")</f>
        <v>April</v>
      </c>
      <c r="D351" s="4">
        <f>Raw_Data!A351</f>
        <v>47</v>
      </c>
      <c r="E351" s="4" t="str">
        <f>Raw_Data!B351</f>
        <v>d</v>
      </c>
      <c r="F351" s="4">
        <f>Raw_Data!C351</f>
        <v>530.5963726</v>
      </c>
    </row>
    <row r="352" spans="1:6" thickTop="1" thickBot="1" x14ac:dyDescent="0.35">
      <c r="A352" s="5">
        <f>Raw_Data!D352</f>
        <v>44782</v>
      </c>
      <c r="B352" s="4">
        <f>YEAR(A352)</f>
        <v>2022</v>
      </c>
      <c r="C352" s="4" t="str">
        <f>TEXT(A352,"mmmm")</f>
        <v>August</v>
      </c>
      <c r="D352" s="4">
        <f>Raw_Data!A352</f>
        <v>67</v>
      </c>
      <c r="E352" s="4" t="str">
        <f>Raw_Data!B352</f>
        <v>d</v>
      </c>
      <c r="F352" s="4">
        <f>Raw_Data!C352</f>
        <v>427.72300310000003</v>
      </c>
    </row>
    <row r="353" spans="1:6" thickTop="1" thickBot="1" x14ac:dyDescent="0.35">
      <c r="A353" s="5">
        <f>Raw_Data!D353</f>
        <v>44581</v>
      </c>
      <c r="B353" s="4">
        <f>YEAR(A353)</f>
        <v>2022</v>
      </c>
      <c r="C353" s="4" t="str">
        <f>TEXT(A353,"mmmm")</f>
        <v>January</v>
      </c>
      <c r="D353" s="4">
        <f>Raw_Data!A353</f>
        <v>82</v>
      </c>
      <c r="E353" s="4" t="str">
        <f>Raw_Data!B353</f>
        <v>e</v>
      </c>
      <c r="F353" s="4">
        <f>Raw_Data!C353</f>
        <v>404.9581488</v>
      </c>
    </row>
    <row r="354" spans="1:6" thickTop="1" thickBot="1" x14ac:dyDescent="0.35">
      <c r="A354" s="5">
        <f>Raw_Data!D354</f>
        <v>44903</v>
      </c>
      <c r="B354" s="4">
        <f>YEAR(A354)</f>
        <v>2022</v>
      </c>
      <c r="C354" s="4" t="str">
        <f>TEXT(A354,"mmmm")</f>
        <v>December</v>
      </c>
      <c r="D354" s="4">
        <f>Raw_Data!A354</f>
        <v>96</v>
      </c>
      <c r="E354" s="4" t="str">
        <f>Raw_Data!B354</f>
        <v>d</v>
      </c>
      <c r="F354" s="4">
        <f>Raw_Data!C354</f>
        <v>521.30637360000003</v>
      </c>
    </row>
    <row r="355" spans="1:6" thickTop="1" thickBot="1" x14ac:dyDescent="0.35">
      <c r="A355" s="5">
        <f>Raw_Data!D355</f>
        <v>44576</v>
      </c>
      <c r="B355" s="4">
        <f>YEAR(A355)</f>
        <v>2022</v>
      </c>
      <c r="C355" s="4" t="str">
        <f>TEXT(A355,"mmmm")</f>
        <v>January</v>
      </c>
      <c r="D355" s="4">
        <f>Raw_Data!A355</f>
        <v>81</v>
      </c>
      <c r="E355" s="4" t="str">
        <f>Raw_Data!B355</f>
        <v>f</v>
      </c>
      <c r="F355" s="4">
        <f>Raw_Data!C355</f>
        <v>560.94971620000001</v>
      </c>
    </row>
    <row r="356" spans="1:6" thickTop="1" thickBot="1" x14ac:dyDescent="0.35">
      <c r="A356" s="5">
        <f>Raw_Data!D356</f>
        <v>44828</v>
      </c>
      <c r="B356" s="4">
        <f>YEAR(A356)</f>
        <v>2022</v>
      </c>
      <c r="C356" s="4" t="str">
        <f>TEXT(A356,"mmmm")</f>
        <v>September</v>
      </c>
      <c r="D356" s="4">
        <f>Raw_Data!A356</f>
        <v>42</v>
      </c>
      <c r="E356" s="4" t="str">
        <f>Raw_Data!B356</f>
        <v>j</v>
      </c>
      <c r="F356" s="4">
        <f>Raw_Data!C356</f>
        <v>544.23879669999997</v>
      </c>
    </row>
    <row r="357" spans="1:6" thickTop="1" thickBot="1" x14ac:dyDescent="0.35">
      <c r="A357" s="5">
        <f>Raw_Data!D357</f>
        <v>44867</v>
      </c>
      <c r="B357" s="4">
        <f>YEAR(A357)</f>
        <v>2022</v>
      </c>
      <c r="C357" s="4" t="str">
        <f>TEXT(A357,"mmmm")</f>
        <v>November</v>
      </c>
      <c r="D357" s="4">
        <f>Raw_Data!A357</f>
        <v>40</v>
      </c>
      <c r="E357" s="4" t="str">
        <f>Raw_Data!B357</f>
        <v>d</v>
      </c>
      <c r="F357" s="4">
        <f>Raw_Data!C357</f>
        <v>464.30603839999998</v>
      </c>
    </row>
    <row r="358" spans="1:6" thickTop="1" thickBot="1" x14ac:dyDescent="0.35">
      <c r="A358" s="5">
        <f>Raw_Data!D358</f>
        <v>44628</v>
      </c>
      <c r="B358" s="4">
        <f>YEAR(A358)</f>
        <v>2022</v>
      </c>
      <c r="C358" s="4" t="str">
        <f>TEXT(A358,"mmmm")</f>
        <v>March</v>
      </c>
      <c r="D358" s="4">
        <f>Raw_Data!A358</f>
        <v>42</v>
      </c>
      <c r="E358" s="4" t="str">
        <f>Raw_Data!B358</f>
        <v>a</v>
      </c>
      <c r="F358" s="4">
        <f>Raw_Data!C358</f>
        <v>675.19167259999995</v>
      </c>
    </row>
    <row r="359" spans="1:6" thickTop="1" thickBot="1" x14ac:dyDescent="0.35">
      <c r="A359" s="5">
        <f>Raw_Data!D359</f>
        <v>44686</v>
      </c>
      <c r="B359" s="4">
        <f>YEAR(A359)</f>
        <v>2022</v>
      </c>
      <c r="C359" s="4" t="str">
        <f>TEXT(A359,"mmmm")</f>
        <v>May</v>
      </c>
      <c r="D359" s="4">
        <f>Raw_Data!A359</f>
        <v>96</v>
      </c>
      <c r="E359" s="4" t="str">
        <f>Raw_Data!B359</f>
        <v>h</v>
      </c>
      <c r="F359" s="4">
        <f>Raw_Data!C359</f>
        <v>415.11770910000001</v>
      </c>
    </row>
    <row r="360" spans="1:6" thickTop="1" thickBot="1" x14ac:dyDescent="0.35">
      <c r="A360" s="5">
        <f>Raw_Data!D360</f>
        <v>44585</v>
      </c>
      <c r="B360" s="4">
        <f>YEAR(A360)</f>
        <v>2022</v>
      </c>
      <c r="C360" s="4" t="str">
        <f>TEXT(A360,"mmmm")</f>
        <v>January</v>
      </c>
      <c r="D360" s="4">
        <f>Raw_Data!A360</f>
        <v>26</v>
      </c>
      <c r="E360" s="4" t="str">
        <f>Raw_Data!B360</f>
        <v>e</v>
      </c>
      <c r="F360" s="4">
        <f>Raw_Data!C360</f>
        <v>496.31509499999999</v>
      </c>
    </row>
    <row r="361" spans="1:6" thickTop="1" thickBot="1" x14ac:dyDescent="0.35">
      <c r="A361" s="5">
        <f>Raw_Data!D361</f>
        <v>44885</v>
      </c>
      <c r="B361" s="4">
        <f>YEAR(A361)</f>
        <v>2022</v>
      </c>
      <c r="C361" s="4" t="str">
        <f>TEXT(A361,"mmmm")</f>
        <v>November</v>
      </c>
      <c r="D361" s="4">
        <f>Raw_Data!A361</f>
        <v>13</v>
      </c>
      <c r="E361" s="4" t="str">
        <f>Raw_Data!B361</f>
        <v>e</v>
      </c>
      <c r="F361" s="4">
        <f>Raw_Data!C361</f>
        <v>455.52364790000001</v>
      </c>
    </row>
    <row r="362" spans="1:6" thickTop="1" thickBot="1" x14ac:dyDescent="0.35">
      <c r="A362" s="5">
        <f>Raw_Data!D362</f>
        <v>44850</v>
      </c>
      <c r="B362" s="4">
        <f>YEAR(A362)</f>
        <v>2022</v>
      </c>
      <c r="C362" s="4" t="str">
        <f>TEXT(A362,"mmmm")</f>
        <v>October</v>
      </c>
      <c r="D362" s="4">
        <f>Raw_Data!A362</f>
        <v>20</v>
      </c>
      <c r="E362" s="4" t="str">
        <f>Raw_Data!B362</f>
        <v>j</v>
      </c>
      <c r="F362" s="4">
        <f>Raw_Data!C362</f>
        <v>547.85181150000005</v>
      </c>
    </row>
    <row r="363" spans="1:6" thickTop="1" thickBot="1" x14ac:dyDescent="0.35">
      <c r="A363" s="5">
        <f>Raw_Data!D363</f>
        <v>44738</v>
      </c>
      <c r="B363" s="4">
        <f>YEAR(A363)</f>
        <v>2022</v>
      </c>
      <c r="C363" s="4" t="str">
        <f>TEXT(A363,"mmmm")</f>
        <v>June</v>
      </c>
      <c r="D363" s="4">
        <f>Raw_Data!A363</f>
        <v>20</v>
      </c>
      <c r="E363" s="4" t="str">
        <f>Raw_Data!B363</f>
        <v>c</v>
      </c>
      <c r="F363" s="4">
        <f>Raw_Data!C363</f>
        <v>492.21375599999999</v>
      </c>
    </row>
    <row r="364" spans="1:6" thickTop="1" thickBot="1" x14ac:dyDescent="0.35">
      <c r="A364" s="5">
        <f>Raw_Data!D364</f>
        <v>44673</v>
      </c>
      <c r="B364" s="4">
        <f>YEAR(A364)</f>
        <v>2022</v>
      </c>
      <c r="C364" s="4" t="str">
        <f>TEXT(A364,"mmmm")</f>
        <v>April</v>
      </c>
      <c r="D364" s="4">
        <f>Raw_Data!A364</f>
        <v>93</v>
      </c>
      <c r="E364" s="4" t="str">
        <f>Raw_Data!B364</f>
        <v>a</v>
      </c>
      <c r="F364" s="4">
        <f>Raw_Data!C364</f>
        <v>499.63903759999999</v>
      </c>
    </row>
    <row r="365" spans="1:6" thickTop="1" thickBot="1" x14ac:dyDescent="0.35">
      <c r="A365" s="5">
        <f>Raw_Data!D365</f>
        <v>44870</v>
      </c>
      <c r="B365" s="4">
        <f>YEAR(A365)</f>
        <v>2022</v>
      </c>
      <c r="C365" s="4" t="str">
        <f>TEXT(A365,"mmmm")</f>
        <v>November</v>
      </c>
      <c r="D365" s="4">
        <f>Raw_Data!A365</f>
        <v>84</v>
      </c>
      <c r="E365" s="4" t="str">
        <f>Raw_Data!B365</f>
        <v>b</v>
      </c>
      <c r="F365" s="4">
        <f>Raw_Data!C365</f>
        <v>548.98310170000002</v>
      </c>
    </row>
    <row r="366" spans="1:6" thickTop="1" thickBot="1" x14ac:dyDescent="0.35">
      <c r="A366" s="5">
        <f>Raw_Data!D366</f>
        <v>44656</v>
      </c>
      <c r="B366" s="4">
        <f>YEAR(A366)</f>
        <v>2022</v>
      </c>
      <c r="C366" s="4" t="str">
        <f>TEXT(A366,"mmmm")</f>
        <v>April</v>
      </c>
      <c r="D366" s="4">
        <f>Raw_Data!A366</f>
        <v>94</v>
      </c>
      <c r="E366" s="4" t="str">
        <f>Raw_Data!B366</f>
        <v>c</v>
      </c>
      <c r="F366" s="4">
        <f>Raw_Data!C366</f>
        <v>378.51375300000001</v>
      </c>
    </row>
    <row r="367" spans="1:6" thickTop="1" thickBot="1" x14ac:dyDescent="0.35">
      <c r="A367" s="5">
        <f>Raw_Data!D367</f>
        <v>44748</v>
      </c>
      <c r="B367" s="4">
        <f>YEAR(A367)</f>
        <v>2022</v>
      </c>
      <c r="C367" s="4" t="str">
        <f>TEXT(A367,"mmmm")</f>
        <v>July</v>
      </c>
      <c r="D367" s="4">
        <f>Raw_Data!A367</f>
        <v>41</v>
      </c>
      <c r="E367" s="4" t="str">
        <f>Raw_Data!B367</f>
        <v>d</v>
      </c>
      <c r="F367" s="4">
        <f>Raw_Data!C367</f>
        <v>480.2903154</v>
      </c>
    </row>
    <row r="368" spans="1:6" thickTop="1" thickBot="1" x14ac:dyDescent="0.35">
      <c r="A368" s="5">
        <f>Raw_Data!D368</f>
        <v>44631</v>
      </c>
      <c r="B368" s="4">
        <f>YEAR(A368)</f>
        <v>2022</v>
      </c>
      <c r="C368" s="4" t="str">
        <f>TEXT(A368,"mmmm")</f>
        <v>March</v>
      </c>
      <c r="D368" s="4">
        <f>Raw_Data!A368</f>
        <v>8</v>
      </c>
      <c r="E368" s="4" t="str">
        <f>Raw_Data!B368</f>
        <v>j</v>
      </c>
      <c r="F368" s="4">
        <f>Raw_Data!C368</f>
        <v>670.86508990000004</v>
      </c>
    </row>
    <row r="369" spans="1:6" thickTop="1" thickBot="1" x14ac:dyDescent="0.35">
      <c r="A369" s="5">
        <f>Raw_Data!D369</f>
        <v>44728</v>
      </c>
      <c r="B369" s="4">
        <f>YEAR(A369)</f>
        <v>2022</v>
      </c>
      <c r="C369" s="4" t="str">
        <f>TEXT(A369,"mmmm")</f>
        <v>June</v>
      </c>
      <c r="D369" s="4">
        <f>Raw_Data!A369</f>
        <v>39</v>
      </c>
      <c r="E369" s="4" t="str">
        <f>Raw_Data!B369</f>
        <v>d</v>
      </c>
      <c r="F369" s="4">
        <f>Raw_Data!C369</f>
        <v>424.03986159999999</v>
      </c>
    </row>
    <row r="370" spans="1:6" thickTop="1" thickBot="1" x14ac:dyDescent="0.35">
      <c r="A370" s="5">
        <f>Raw_Data!D370</f>
        <v>44880</v>
      </c>
      <c r="B370" s="4">
        <f>YEAR(A370)</f>
        <v>2022</v>
      </c>
      <c r="C370" s="4" t="str">
        <f>TEXT(A370,"mmmm")</f>
        <v>November</v>
      </c>
      <c r="D370" s="4">
        <f>Raw_Data!A370</f>
        <v>74</v>
      </c>
      <c r="E370" s="4" t="str">
        <f>Raw_Data!B370</f>
        <v>d</v>
      </c>
      <c r="F370" s="4">
        <f>Raw_Data!C370</f>
        <v>597.23695650000002</v>
      </c>
    </row>
    <row r="371" spans="1:6" thickTop="1" thickBot="1" x14ac:dyDescent="0.35">
      <c r="A371" s="5">
        <f>Raw_Data!D371</f>
        <v>44877</v>
      </c>
      <c r="B371" s="4">
        <f>YEAR(A371)</f>
        <v>2022</v>
      </c>
      <c r="C371" s="4" t="str">
        <f>TEXT(A371,"mmmm")</f>
        <v>November</v>
      </c>
      <c r="D371" s="4">
        <f>Raw_Data!A371</f>
        <v>81</v>
      </c>
      <c r="E371" s="4" t="str">
        <f>Raw_Data!B371</f>
        <v>j</v>
      </c>
      <c r="F371" s="4">
        <f>Raw_Data!C371</f>
        <v>396.8159617</v>
      </c>
    </row>
    <row r="372" spans="1:6" thickTop="1" thickBot="1" x14ac:dyDescent="0.35">
      <c r="A372" s="5">
        <f>Raw_Data!D372</f>
        <v>44871</v>
      </c>
      <c r="B372" s="4">
        <f>YEAR(A372)</f>
        <v>2022</v>
      </c>
      <c r="C372" s="4" t="str">
        <f>TEXT(A372,"mmmm")</f>
        <v>November</v>
      </c>
      <c r="D372" s="4">
        <f>Raw_Data!A372</f>
        <v>63</v>
      </c>
      <c r="E372" s="4" t="str">
        <f>Raw_Data!B372</f>
        <v>a</v>
      </c>
      <c r="F372" s="4">
        <f>Raw_Data!C372</f>
        <v>576.85866269999997</v>
      </c>
    </row>
    <row r="373" spans="1:6" thickTop="1" thickBot="1" x14ac:dyDescent="0.35">
      <c r="A373" s="5">
        <f>Raw_Data!D373</f>
        <v>44710</v>
      </c>
      <c r="B373" s="4">
        <f>YEAR(A373)</f>
        <v>2022</v>
      </c>
      <c r="C373" s="4" t="str">
        <f>TEXT(A373,"mmmm")</f>
        <v>May</v>
      </c>
      <c r="D373" s="4">
        <f>Raw_Data!A373</f>
        <v>82</v>
      </c>
      <c r="E373" s="4" t="str">
        <f>Raw_Data!B373</f>
        <v>i</v>
      </c>
      <c r="F373" s="4">
        <f>Raw_Data!C373</f>
        <v>530.12850600000002</v>
      </c>
    </row>
    <row r="374" spans="1:6" thickTop="1" thickBot="1" x14ac:dyDescent="0.35">
      <c r="A374" s="5">
        <f>Raw_Data!D374</f>
        <v>44650</v>
      </c>
      <c r="B374" s="4">
        <f>YEAR(A374)</f>
        <v>2022</v>
      </c>
      <c r="C374" s="4" t="str">
        <f>TEXT(A374,"mmmm")</f>
        <v>March</v>
      </c>
      <c r="D374" s="4">
        <f>Raw_Data!A374</f>
        <v>11</v>
      </c>
      <c r="E374" s="4" t="str">
        <f>Raw_Data!B374</f>
        <v>a</v>
      </c>
      <c r="F374" s="4">
        <f>Raw_Data!C374</f>
        <v>542.45605809999995</v>
      </c>
    </row>
    <row r="375" spans="1:6" thickTop="1" thickBot="1" x14ac:dyDescent="0.35">
      <c r="A375" s="5">
        <f>Raw_Data!D375</f>
        <v>44901</v>
      </c>
      <c r="B375" s="4">
        <f>YEAR(A375)</f>
        <v>2022</v>
      </c>
      <c r="C375" s="4" t="str">
        <f>TEXT(A375,"mmmm")</f>
        <v>December</v>
      </c>
      <c r="D375" s="4">
        <f>Raw_Data!A375</f>
        <v>2</v>
      </c>
      <c r="E375" s="4" t="str">
        <f>Raw_Data!B375</f>
        <v>e</v>
      </c>
      <c r="F375" s="4">
        <f>Raw_Data!C375</f>
        <v>500.65710569999999</v>
      </c>
    </row>
    <row r="376" spans="1:6" thickTop="1" thickBot="1" x14ac:dyDescent="0.35">
      <c r="A376" s="5">
        <f>Raw_Data!D376</f>
        <v>44799</v>
      </c>
      <c r="B376" s="4">
        <f>YEAR(A376)</f>
        <v>2022</v>
      </c>
      <c r="C376" s="4" t="str">
        <f>TEXT(A376,"mmmm")</f>
        <v>August</v>
      </c>
      <c r="D376" s="4">
        <f>Raw_Data!A376</f>
        <v>19</v>
      </c>
      <c r="E376" s="4" t="str">
        <f>Raw_Data!B376</f>
        <v>d</v>
      </c>
      <c r="F376" s="4">
        <f>Raw_Data!C376</f>
        <v>574.12977490000003</v>
      </c>
    </row>
    <row r="377" spans="1:6" thickTop="1" thickBot="1" x14ac:dyDescent="0.35">
      <c r="A377" s="5">
        <f>Raw_Data!D377</f>
        <v>44822</v>
      </c>
      <c r="B377" s="4">
        <f>YEAR(A377)</f>
        <v>2022</v>
      </c>
      <c r="C377" s="4" t="str">
        <f>TEXT(A377,"mmmm")</f>
        <v>September</v>
      </c>
      <c r="D377" s="4">
        <f>Raw_Data!A377</f>
        <v>77</v>
      </c>
      <c r="E377" s="4" t="str">
        <f>Raw_Data!B377</f>
        <v>a</v>
      </c>
      <c r="F377" s="4">
        <f>Raw_Data!C377</f>
        <v>655.90074870000001</v>
      </c>
    </row>
    <row r="378" spans="1:6" thickTop="1" thickBot="1" x14ac:dyDescent="0.35">
      <c r="A378" s="5">
        <f>Raw_Data!D378</f>
        <v>44656</v>
      </c>
      <c r="B378" s="4">
        <f>YEAR(A378)</f>
        <v>2022</v>
      </c>
      <c r="C378" s="4" t="str">
        <f>TEXT(A378,"mmmm")</f>
        <v>April</v>
      </c>
      <c r="D378" s="4">
        <f>Raw_Data!A378</f>
        <v>13</v>
      </c>
      <c r="E378" s="4" t="str">
        <f>Raw_Data!B378</f>
        <v>g</v>
      </c>
      <c r="F378" s="4">
        <f>Raw_Data!C378</f>
        <v>458.2831248</v>
      </c>
    </row>
    <row r="379" spans="1:6" thickTop="1" thickBot="1" x14ac:dyDescent="0.35">
      <c r="A379" s="5">
        <f>Raw_Data!D379</f>
        <v>44609</v>
      </c>
      <c r="B379" s="4">
        <f>YEAR(A379)</f>
        <v>2022</v>
      </c>
      <c r="C379" s="4" t="str">
        <f>TEXT(A379,"mmmm")</f>
        <v>February</v>
      </c>
      <c r="D379" s="4">
        <f>Raw_Data!A379</f>
        <v>31</v>
      </c>
      <c r="E379" s="4" t="str">
        <f>Raw_Data!B379</f>
        <v>i</v>
      </c>
      <c r="F379" s="4">
        <f>Raw_Data!C379</f>
        <v>457.96770370000002</v>
      </c>
    </row>
    <row r="380" spans="1:6" thickTop="1" thickBot="1" x14ac:dyDescent="0.35">
      <c r="A380" s="5">
        <f>Raw_Data!D380</f>
        <v>44571</v>
      </c>
      <c r="B380" s="4">
        <f>YEAR(A380)</f>
        <v>2022</v>
      </c>
      <c r="C380" s="4" t="str">
        <f>TEXT(A380,"mmmm")</f>
        <v>January</v>
      </c>
      <c r="D380" s="4">
        <f>Raw_Data!A380</f>
        <v>30</v>
      </c>
      <c r="E380" s="4" t="str">
        <f>Raw_Data!B380</f>
        <v>e</v>
      </c>
      <c r="F380" s="4">
        <f>Raw_Data!C380</f>
        <v>569.71858640000005</v>
      </c>
    </row>
    <row r="381" spans="1:6" thickTop="1" thickBot="1" x14ac:dyDescent="0.35">
      <c r="A381" s="5">
        <f>Raw_Data!D381</f>
        <v>44832</v>
      </c>
      <c r="B381" s="4">
        <f>YEAR(A381)</f>
        <v>2022</v>
      </c>
      <c r="C381" s="4" t="str">
        <f>TEXT(A381,"mmmm")</f>
        <v>September</v>
      </c>
      <c r="D381" s="4">
        <f>Raw_Data!A381</f>
        <v>22</v>
      </c>
      <c r="E381" s="4" t="str">
        <f>Raw_Data!B381</f>
        <v>i</v>
      </c>
      <c r="F381" s="4">
        <f>Raw_Data!C381</f>
        <v>478.90383910000003</v>
      </c>
    </row>
    <row r="382" spans="1:6" thickTop="1" thickBot="1" x14ac:dyDescent="0.35">
      <c r="A382" s="5">
        <f>Raw_Data!D382</f>
        <v>44809</v>
      </c>
      <c r="B382" s="4">
        <f>YEAR(A382)</f>
        <v>2022</v>
      </c>
      <c r="C382" s="4" t="str">
        <f>TEXT(A382,"mmmm")</f>
        <v>September</v>
      </c>
      <c r="D382" s="4">
        <f>Raw_Data!A382</f>
        <v>94</v>
      </c>
      <c r="E382" s="4" t="str">
        <f>Raw_Data!B382</f>
        <v>f</v>
      </c>
      <c r="F382" s="4">
        <f>Raw_Data!C382</f>
        <v>654.10854979999999</v>
      </c>
    </row>
    <row r="383" spans="1:6" thickTop="1" thickBot="1" x14ac:dyDescent="0.35">
      <c r="A383" s="5">
        <f>Raw_Data!D383</f>
        <v>44782</v>
      </c>
      <c r="B383" s="4">
        <f>YEAR(A383)</f>
        <v>2022</v>
      </c>
      <c r="C383" s="4" t="str">
        <f>TEXT(A383,"mmmm")</f>
        <v>August</v>
      </c>
      <c r="D383" s="4">
        <f>Raw_Data!A383</f>
        <v>74</v>
      </c>
      <c r="E383" s="4" t="str">
        <f>Raw_Data!B383</f>
        <v>i</v>
      </c>
      <c r="F383" s="4">
        <f>Raw_Data!C383</f>
        <v>528.48319600000002</v>
      </c>
    </row>
    <row r="384" spans="1:6" thickTop="1" thickBot="1" x14ac:dyDescent="0.35">
      <c r="A384" s="5">
        <f>Raw_Data!D384</f>
        <v>44612</v>
      </c>
      <c r="B384" s="4">
        <f>YEAR(A384)</f>
        <v>2022</v>
      </c>
      <c r="C384" s="4" t="str">
        <f>TEXT(A384,"mmmm")</f>
        <v>February</v>
      </c>
      <c r="D384" s="4">
        <f>Raw_Data!A384</f>
        <v>16</v>
      </c>
      <c r="E384" s="4" t="str">
        <f>Raw_Data!B384</f>
        <v>c</v>
      </c>
      <c r="F384" s="4">
        <f>Raw_Data!C384</f>
        <v>532.19613760000004</v>
      </c>
    </row>
    <row r="385" spans="1:6" thickTop="1" thickBot="1" x14ac:dyDescent="0.35">
      <c r="A385" s="5">
        <f>Raw_Data!D385</f>
        <v>44582</v>
      </c>
      <c r="B385" s="4">
        <f>YEAR(A385)</f>
        <v>2022</v>
      </c>
      <c r="C385" s="4" t="str">
        <f>TEXT(A385,"mmmm")</f>
        <v>January</v>
      </c>
      <c r="D385" s="4">
        <f>Raw_Data!A385</f>
        <v>69</v>
      </c>
      <c r="E385" s="4" t="str">
        <f>Raw_Data!B385</f>
        <v>i</v>
      </c>
      <c r="F385" s="4">
        <f>Raw_Data!C385</f>
        <v>393.14739309999999</v>
      </c>
    </row>
    <row r="386" spans="1:6" thickTop="1" thickBot="1" x14ac:dyDescent="0.35">
      <c r="A386" s="5">
        <f>Raw_Data!D386</f>
        <v>44565</v>
      </c>
      <c r="B386" s="4">
        <f>YEAR(A386)</f>
        <v>2022</v>
      </c>
      <c r="C386" s="4" t="str">
        <f>TEXT(A386,"mmmm")</f>
        <v>January</v>
      </c>
      <c r="D386" s="4">
        <f>Raw_Data!A386</f>
        <v>36</v>
      </c>
      <c r="E386" s="4" t="str">
        <f>Raw_Data!B386</f>
        <v>a</v>
      </c>
      <c r="F386" s="4">
        <f>Raw_Data!C386</f>
        <v>642.57158619999996</v>
      </c>
    </row>
    <row r="387" spans="1:6" thickTop="1" thickBot="1" x14ac:dyDescent="0.35">
      <c r="A387" s="5">
        <f>Raw_Data!D387</f>
        <v>44608</v>
      </c>
      <c r="B387" s="4">
        <f>YEAR(A387)</f>
        <v>2022</v>
      </c>
      <c r="C387" s="4" t="str">
        <f>TEXT(A387,"mmmm")</f>
        <v>February</v>
      </c>
      <c r="D387" s="4">
        <f>Raw_Data!A387</f>
        <v>50</v>
      </c>
      <c r="E387" s="4" t="str">
        <f>Raw_Data!B387</f>
        <v>c</v>
      </c>
      <c r="F387" s="4">
        <f>Raw_Data!C387</f>
        <v>619.95702000000006</v>
      </c>
    </row>
    <row r="388" spans="1:6" thickTop="1" thickBot="1" x14ac:dyDescent="0.35">
      <c r="A388" s="5">
        <f>Raw_Data!D388</f>
        <v>44678</v>
      </c>
      <c r="B388" s="4">
        <f>YEAR(A388)</f>
        <v>2022</v>
      </c>
      <c r="C388" s="4" t="str">
        <f>TEXT(A388,"mmmm")</f>
        <v>April</v>
      </c>
      <c r="D388" s="4">
        <f>Raw_Data!A388</f>
        <v>33</v>
      </c>
      <c r="E388" s="4" t="str">
        <f>Raw_Data!B388</f>
        <v>f</v>
      </c>
      <c r="F388" s="4">
        <f>Raw_Data!C388</f>
        <v>332.19635929999998</v>
      </c>
    </row>
    <row r="389" spans="1:6" thickTop="1" thickBot="1" x14ac:dyDescent="0.35">
      <c r="A389" s="5">
        <f>Raw_Data!D389</f>
        <v>44912</v>
      </c>
      <c r="B389" s="4">
        <f>YEAR(A389)</f>
        <v>2022</v>
      </c>
      <c r="C389" s="4" t="str">
        <f>TEXT(A389,"mmmm")</f>
        <v>December</v>
      </c>
      <c r="D389" s="4">
        <f>Raw_Data!A389</f>
        <v>80</v>
      </c>
      <c r="E389" s="4" t="str">
        <f>Raw_Data!B389</f>
        <v>b</v>
      </c>
      <c r="F389" s="4">
        <f>Raw_Data!C389</f>
        <v>682.88061630000004</v>
      </c>
    </row>
    <row r="390" spans="1:6" thickTop="1" thickBot="1" x14ac:dyDescent="0.35">
      <c r="A390" s="5">
        <f>Raw_Data!D390</f>
        <v>44876</v>
      </c>
      <c r="B390" s="4">
        <f>YEAR(A390)</f>
        <v>2022</v>
      </c>
      <c r="C390" s="4" t="str">
        <f>TEXT(A390,"mmmm")</f>
        <v>November</v>
      </c>
      <c r="D390" s="4">
        <f>Raw_Data!A390</f>
        <v>28</v>
      </c>
      <c r="E390" s="4" t="str">
        <f>Raw_Data!B390</f>
        <v>a</v>
      </c>
      <c r="F390" s="4">
        <f>Raw_Data!C390</f>
        <v>446.47911440000001</v>
      </c>
    </row>
    <row r="391" spans="1:6" thickTop="1" thickBot="1" x14ac:dyDescent="0.35">
      <c r="A391" s="5">
        <f>Raw_Data!D391</f>
        <v>44826</v>
      </c>
      <c r="B391" s="4">
        <f>YEAR(A391)</f>
        <v>2022</v>
      </c>
      <c r="C391" s="4" t="str">
        <f>TEXT(A391,"mmmm")</f>
        <v>September</v>
      </c>
      <c r="D391" s="4">
        <f>Raw_Data!A391</f>
        <v>49</v>
      </c>
      <c r="E391" s="4" t="str">
        <f>Raw_Data!B391</f>
        <v>j</v>
      </c>
      <c r="F391" s="4">
        <f>Raw_Data!C391</f>
        <v>416.43393589999999</v>
      </c>
    </row>
    <row r="392" spans="1:6" thickTop="1" thickBot="1" x14ac:dyDescent="0.35">
      <c r="A392" s="5">
        <f>Raw_Data!D392</f>
        <v>44614</v>
      </c>
      <c r="B392" s="4">
        <f>YEAR(A392)</f>
        <v>2022</v>
      </c>
      <c r="C392" s="4" t="str">
        <f>TEXT(A392,"mmmm")</f>
        <v>February</v>
      </c>
      <c r="D392" s="4">
        <f>Raw_Data!A392</f>
        <v>12</v>
      </c>
      <c r="E392" s="4" t="str">
        <f>Raw_Data!B392</f>
        <v>e</v>
      </c>
      <c r="F392" s="4">
        <f>Raw_Data!C392</f>
        <v>424.15300999999999</v>
      </c>
    </row>
    <row r="393" spans="1:6" thickTop="1" thickBot="1" x14ac:dyDescent="0.35">
      <c r="A393" s="5">
        <f>Raw_Data!D393</f>
        <v>44658</v>
      </c>
      <c r="B393" s="4">
        <f>YEAR(A393)</f>
        <v>2022</v>
      </c>
      <c r="C393" s="4" t="str">
        <f>TEXT(A393,"mmmm")</f>
        <v>April</v>
      </c>
      <c r="D393" s="4">
        <f>Raw_Data!A393</f>
        <v>53</v>
      </c>
      <c r="E393" s="4" t="str">
        <f>Raw_Data!B393</f>
        <v>a</v>
      </c>
      <c r="F393" s="4">
        <f>Raw_Data!C393</f>
        <v>367.58700979999998</v>
      </c>
    </row>
    <row r="394" spans="1:6" thickTop="1" thickBot="1" x14ac:dyDescent="0.35">
      <c r="A394" s="5">
        <f>Raw_Data!D394</f>
        <v>44908</v>
      </c>
      <c r="B394" s="4">
        <f>YEAR(A394)</f>
        <v>2022</v>
      </c>
      <c r="C394" s="4" t="str">
        <f>TEXT(A394,"mmmm")</f>
        <v>December</v>
      </c>
      <c r="D394" s="4">
        <f>Raw_Data!A394</f>
        <v>28</v>
      </c>
      <c r="E394" s="4" t="str">
        <f>Raw_Data!B394</f>
        <v>f</v>
      </c>
      <c r="F394" s="4">
        <f>Raw_Data!C394</f>
        <v>578.84674710000002</v>
      </c>
    </row>
    <row r="395" spans="1:6" thickTop="1" thickBot="1" x14ac:dyDescent="0.35">
      <c r="A395" s="5">
        <f>Raw_Data!D395</f>
        <v>44569</v>
      </c>
      <c r="B395" s="4">
        <f>YEAR(A395)</f>
        <v>2022</v>
      </c>
      <c r="C395" s="4" t="str">
        <f>TEXT(A395,"mmmm")</f>
        <v>January</v>
      </c>
      <c r="D395" s="4">
        <f>Raw_Data!A395</f>
        <v>66</v>
      </c>
      <c r="E395" s="4" t="str">
        <f>Raw_Data!B395</f>
        <v>f</v>
      </c>
      <c r="F395" s="4">
        <f>Raw_Data!C395</f>
        <v>362.32815349999998</v>
      </c>
    </row>
    <row r="396" spans="1:6" thickTop="1" thickBot="1" x14ac:dyDescent="0.35">
      <c r="A396" s="5">
        <f>Raw_Data!D396</f>
        <v>44596</v>
      </c>
      <c r="B396" s="4">
        <f>YEAR(A396)</f>
        <v>2022</v>
      </c>
      <c r="C396" s="4" t="str">
        <f>TEXT(A396,"mmmm")</f>
        <v>February</v>
      </c>
      <c r="D396" s="4">
        <f>Raw_Data!A396</f>
        <v>50</v>
      </c>
      <c r="E396" s="4" t="str">
        <f>Raw_Data!B396</f>
        <v>h</v>
      </c>
      <c r="F396" s="4">
        <f>Raw_Data!C396</f>
        <v>392.96047579999998</v>
      </c>
    </row>
    <row r="397" spans="1:6" thickTop="1" thickBot="1" x14ac:dyDescent="0.35">
      <c r="A397" s="5">
        <f>Raw_Data!D397</f>
        <v>44589</v>
      </c>
      <c r="B397" s="4">
        <f>YEAR(A397)</f>
        <v>2022</v>
      </c>
      <c r="C397" s="4" t="str">
        <f>TEXT(A397,"mmmm")</f>
        <v>January</v>
      </c>
      <c r="D397" s="4">
        <f>Raw_Data!A397</f>
        <v>76</v>
      </c>
      <c r="E397" s="4" t="str">
        <f>Raw_Data!B397</f>
        <v>a</v>
      </c>
      <c r="F397" s="4">
        <f>Raw_Data!C397</f>
        <v>401.32590690000001</v>
      </c>
    </row>
    <row r="398" spans="1:6" thickTop="1" thickBot="1" x14ac:dyDescent="0.35">
      <c r="A398" s="5">
        <f>Raw_Data!D398</f>
        <v>44899</v>
      </c>
      <c r="B398" s="4">
        <f>YEAR(A398)</f>
        <v>2022</v>
      </c>
      <c r="C398" s="4" t="str">
        <f>TEXT(A398,"mmmm")</f>
        <v>December</v>
      </c>
      <c r="D398" s="4">
        <f>Raw_Data!A398</f>
        <v>47</v>
      </c>
      <c r="E398" s="4" t="str">
        <f>Raw_Data!B398</f>
        <v>f</v>
      </c>
      <c r="F398" s="4">
        <f>Raw_Data!C398</f>
        <v>553.65861840000002</v>
      </c>
    </row>
    <row r="399" spans="1:6" thickTop="1" thickBot="1" x14ac:dyDescent="0.35">
      <c r="A399" s="5">
        <f>Raw_Data!D399</f>
        <v>44657</v>
      </c>
      <c r="B399" s="4">
        <f>YEAR(A399)</f>
        <v>2022</v>
      </c>
      <c r="C399" s="4" t="str">
        <f>TEXT(A399,"mmmm")</f>
        <v>April</v>
      </c>
      <c r="D399" s="4">
        <f>Raw_Data!A399</f>
        <v>51</v>
      </c>
      <c r="E399" s="4" t="str">
        <f>Raw_Data!B399</f>
        <v>a</v>
      </c>
      <c r="F399" s="4">
        <f>Raw_Data!C399</f>
        <v>455.4793416</v>
      </c>
    </row>
    <row r="400" spans="1:6" thickTop="1" thickBot="1" x14ac:dyDescent="0.35">
      <c r="A400" s="5">
        <f>Raw_Data!D400</f>
        <v>44676</v>
      </c>
      <c r="B400" s="4">
        <f>YEAR(A400)</f>
        <v>2022</v>
      </c>
      <c r="C400" s="4" t="str">
        <f>TEXT(A400,"mmmm")</f>
        <v>April</v>
      </c>
      <c r="D400" s="4">
        <f>Raw_Data!A400</f>
        <v>6</v>
      </c>
      <c r="E400" s="4" t="str">
        <f>Raw_Data!B400</f>
        <v>f</v>
      </c>
      <c r="F400" s="4">
        <f>Raw_Data!C400</f>
        <v>499.64985630000001</v>
      </c>
    </row>
    <row r="401" spans="1:6" thickTop="1" thickBot="1" x14ac:dyDescent="0.35">
      <c r="A401" s="5">
        <f>Raw_Data!D401</f>
        <v>44726</v>
      </c>
      <c r="B401" s="4">
        <f>YEAR(A401)</f>
        <v>2022</v>
      </c>
      <c r="C401" s="4" t="str">
        <f>TEXT(A401,"mmmm")</f>
        <v>June</v>
      </c>
      <c r="D401" s="4">
        <f>Raw_Data!A401</f>
        <v>80</v>
      </c>
      <c r="E401" s="4" t="str">
        <f>Raw_Data!B401</f>
        <v>f</v>
      </c>
      <c r="F401" s="4">
        <f>Raw_Data!C401</f>
        <v>437.61859049999998</v>
      </c>
    </row>
    <row r="402" spans="1:6" thickTop="1" thickBot="1" x14ac:dyDescent="0.35">
      <c r="A402" s="5">
        <f>Raw_Data!D402</f>
        <v>44785</v>
      </c>
      <c r="B402" s="4">
        <f>YEAR(A402)</f>
        <v>2022</v>
      </c>
      <c r="C402" s="4" t="str">
        <f>TEXT(A402,"mmmm")</f>
        <v>August</v>
      </c>
      <c r="D402" s="4">
        <f>Raw_Data!A402</f>
        <v>15</v>
      </c>
      <c r="E402" s="4" t="str">
        <f>Raw_Data!B402</f>
        <v>e</v>
      </c>
      <c r="F402" s="4">
        <f>Raw_Data!C402</f>
        <v>546.08469249999996</v>
      </c>
    </row>
    <row r="403" spans="1:6" thickTop="1" thickBot="1" x14ac:dyDescent="0.35">
      <c r="A403" s="5">
        <f>Raw_Data!D403</f>
        <v>44665</v>
      </c>
      <c r="B403" s="4">
        <f>YEAR(A403)</f>
        <v>2022</v>
      </c>
      <c r="C403" s="4" t="str">
        <f>TEXT(A403,"mmmm")</f>
        <v>April</v>
      </c>
      <c r="D403" s="4">
        <f>Raw_Data!A403</f>
        <v>19</v>
      </c>
      <c r="E403" s="4" t="str">
        <f>Raw_Data!B403</f>
        <v>j</v>
      </c>
      <c r="F403" s="4">
        <f>Raw_Data!C403</f>
        <v>442.24798800000002</v>
      </c>
    </row>
    <row r="404" spans="1:6" thickTop="1" thickBot="1" x14ac:dyDescent="0.35">
      <c r="A404" s="5">
        <f>Raw_Data!D404</f>
        <v>44577</v>
      </c>
      <c r="B404" s="4">
        <f>YEAR(A404)</f>
        <v>2022</v>
      </c>
      <c r="C404" s="4" t="str">
        <f>TEXT(A404,"mmmm")</f>
        <v>January</v>
      </c>
      <c r="D404" s="4">
        <f>Raw_Data!A404</f>
        <v>59</v>
      </c>
      <c r="E404" s="4" t="str">
        <f>Raw_Data!B404</f>
        <v>i</v>
      </c>
      <c r="F404" s="4">
        <f>Raw_Data!C404</f>
        <v>668.76085660000001</v>
      </c>
    </row>
    <row r="405" spans="1:6" thickTop="1" thickBot="1" x14ac:dyDescent="0.35">
      <c r="A405" s="5">
        <f>Raw_Data!D405</f>
        <v>44591</v>
      </c>
      <c r="B405" s="4">
        <f>YEAR(A405)</f>
        <v>2022</v>
      </c>
      <c r="C405" s="4" t="str">
        <f>TEXT(A405,"mmmm")</f>
        <v>January</v>
      </c>
      <c r="D405" s="4">
        <f>Raw_Data!A405</f>
        <v>3</v>
      </c>
      <c r="E405" s="4" t="str">
        <f>Raw_Data!B405</f>
        <v>j</v>
      </c>
      <c r="F405" s="4">
        <f>Raw_Data!C405</f>
        <v>502.5660517</v>
      </c>
    </row>
    <row r="406" spans="1:6" thickTop="1" thickBot="1" x14ac:dyDescent="0.35">
      <c r="A406" s="5">
        <f>Raw_Data!D406</f>
        <v>44798</v>
      </c>
      <c r="B406" s="4">
        <f>YEAR(A406)</f>
        <v>2022</v>
      </c>
      <c r="C406" s="4" t="str">
        <f>TEXT(A406,"mmmm")</f>
        <v>August</v>
      </c>
      <c r="D406" s="4">
        <f>Raw_Data!A406</f>
        <v>97</v>
      </c>
      <c r="E406" s="4" t="str">
        <f>Raw_Data!B406</f>
        <v>c</v>
      </c>
      <c r="F406" s="4">
        <f>Raw_Data!C406</f>
        <v>440.96928380000003</v>
      </c>
    </row>
    <row r="407" spans="1:6" thickTop="1" thickBot="1" x14ac:dyDescent="0.35">
      <c r="A407" s="5">
        <f>Raw_Data!D407</f>
        <v>44842</v>
      </c>
      <c r="B407" s="4">
        <f>YEAR(A407)</f>
        <v>2022</v>
      </c>
      <c r="C407" s="4" t="str">
        <f>TEXT(A407,"mmmm")</f>
        <v>October</v>
      </c>
      <c r="D407" s="4">
        <f>Raw_Data!A407</f>
        <v>33</v>
      </c>
      <c r="E407" s="4" t="str">
        <f>Raw_Data!B407</f>
        <v>i</v>
      </c>
      <c r="F407" s="4">
        <f>Raw_Data!C407</f>
        <v>638.20218030000001</v>
      </c>
    </row>
    <row r="408" spans="1:6" thickTop="1" thickBot="1" x14ac:dyDescent="0.35">
      <c r="A408" s="5">
        <f>Raw_Data!D408</f>
        <v>44806</v>
      </c>
      <c r="B408" s="4">
        <f>YEAR(A408)</f>
        <v>2022</v>
      </c>
      <c r="C408" s="4" t="str">
        <f>TEXT(A408,"mmmm")</f>
        <v>September</v>
      </c>
      <c r="D408" s="4">
        <f>Raw_Data!A408</f>
        <v>48</v>
      </c>
      <c r="E408" s="4" t="str">
        <f>Raw_Data!B408</f>
        <v>e</v>
      </c>
      <c r="F408" s="4">
        <f>Raw_Data!C408</f>
        <v>503.19013369999999</v>
      </c>
    </row>
    <row r="409" spans="1:6" thickTop="1" thickBot="1" x14ac:dyDescent="0.35">
      <c r="A409" s="5">
        <f>Raw_Data!D409</f>
        <v>44801</v>
      </c>
      <c r="B409" s="4">
        <f>YEAR(A409)</f>
        <v>2022</v>
      </c>
      <c r="C409" s="4" t="str">
        <f>TEXT(A409,"mmmm")</f>
        <v>August</v>
      </c>
      <c r="D409" s="4">
        <f>Raw_Data!A409</f>
        <v>75</v>
      </c>
      <c r="E409" s="4" t="str">
        <f>Raw_Data!B409</f>
        <v>g</v>
      </c>
      <c r="F409" s="4">
        <f>Raw_Data!C409</f>
        <v>399.74933060000001</v>
      </c>
    </row>
    <row r="410" spans="1:6" thickTop="1" thickBot="1" x14ac:dyDescent="0.35">
      <c r="A410" s="5">
        <f>Raw_Data!D410</f>
        <v>44580</v>
      </c>
      <c r="B410" s="4">
        <f>YEAR(A410)</f>
        <v>2022</v>
      </c>
      <c r="C410" s="4" t="str">
        <f>TEXT(A410,"mmmm")</f>
        <v>January</v>
      </c>
      <c r="D410" s="4">
        <f>Raw_Data!A410</f>
        <v>100</v>
      </c>
      <c r="E410" s="4" t="str">
        <f>Raw_Data!B410</f>
        <v>b</v>
      </c>
      <c r="F410" s="4">
        <f>Raw_Data!C410</f>
        <v>404.4334925</v>
      </c>
    </row>
    <row r="411" spans="1:6" thickTop="1" thickBot="1" x14ac:dyDescent="0.35">
      <c r="A411" s="5">
        <f>Raw_Data!D411</f>
        <v>44920</v>
      </c>
      <c r="B411" s="4">
        <f>YEAR(A411)</f>
        <v>2022</v>
      </c>
      <c r="C411" s="4" t="str">
        <f>TEXT(A411,"mmmm")</f>
        <v>December</v>
      </c>
      <c r="D411" s="4">
        <f>Raw_Data!A411</f>
        <v>45</v>
      </c>
      <c r="E411" s="4" t="str">
        <f>Raw_Data!B411</f>
        <v>f</v>
      </c>
      <c r="F411" s="4">
        <f>Raw_Data!C411</f>
        <v>549.05656759999999</v>
      </c>
    </row>
    <row r="412" spans="1:6" thickTop="1" thickBot="1" x14ac:dyDescent="0.35">
      <c r="A412" s="5">
        <f>Raw_Data!D412</f>
        <v>44841</v>
      </c>
      <c r="B412" s="4">
        <f>YEAR(A412)</f>
        <v>2022</v>
      </c>
      <c r="C412" s="4" t="str">
        <f>TEXT(A412,"mmmm")</f>
        <v>October</v>
      </c>
      <c r="D412" s="4">
        <f>Raw_Data!A412</f>
        <v>10</v>
      </c>
      <c r="E412" s="4" t="str">
        <f>Raw_Data!B412</f>
        <v>j</v>
      </c>
      <c r="F412" s="4">
        <f>Raw_Data!C412</f>
        <v>382.05826280000002</v>
      </c>
    </row>
    <row r="413" spans="1:6" thickTop="1" thickBot="1" x14ac:dyDescent="0.35">
      <c r="A413" s="5">
        <f>Raw_Data!D413</f>
        <v>44791</v>
      </c>
      <c r="B413" s="4">
        <f>YEAR(A413)</f>
        <v>2022</v>
      </c>
      <c r="C413" s="4" t="str">
        <f>TEXT(A413,"mmmm")</f>
        <v>August</v>
      </c>
      <c r="D413" s="4">
        <f>Raw_Data!A413</f>
        <v>42</v>
      </c>
      <c r="E413" s="4" t="str">
        <f>Raw_Data!B413</f>
        <v>g</v>
      </c>
      <c r="F413" s="4">
        <f>Raw_Data!C413</f>
        <v>655.6754426</v>
      </c>
    </row>
    <row r="414" spans="1:6" thickTop="1" thickBot="1" x14ac:dyDescent="0.35">
      <c r="A414" s="5">
        <f>Raw_Data!D414</f>
        <v>44618</v>
      </c>
      <c r="B414" s="4">
        <f>YEAR(A414)</f>
        <v>2022</v>
      </c>
      <c r="C414" s="4" t="str">
        <f>TEXT(A414,"mmmm")</f>
        <v>February</v>
      </c>
      <c r="D414" s="4">
        <f>Raw_Data!A414</f>
        <v>24</v>
      </c>
      <c r="E414" s="4" t="str">
        <f>Raw_Data!B414</f>
        <v>i</v>
      </c>
      <c r="F414" s="4">
        <f>Raw_Data!C414</f>
        <v>409.57389949999998</v>
      </c>
    </row>
    <row r="415" spans="1:6" thickTop="1" thickBot="1" x14ac:dyDescent="0.35">
      <c r="A415" s="5">
        <f>Raw_Data!D415</f>
        <v>44580</v>
      </c>
      <c r="B415" s="4">
        <f>YEAR(A415)</f>
        <v>2022</v>
      </c>
      <c r="C415" s="4" t="str">
        <f>TEXT(A415,"mmmm")</f>
        <v>January</v>
      </c>
      <c r="D415" s="4">
        <f>Raw_Data!A415</f>
        <v>92</v>
      </c>
      <c r="E415" s="4" t="str">
        <f>Raw_Data!B415</f>
        <v>c</v>
      </c>
      <c r="F415" s="4">
        <f>Raw_Data!C415</f>
        <v>349.7297097</v>
      </c>
    </row>
    <row r="416" spans="1:6" thickTop="1" thickBot="1" x14ac:dyDescent="0.35">
      <c r="A416" s="5">
        <f>Raw_Data!D416</f>
        <v>44867</v>
      </c>
      <c r="B416" s="4">
        <f>YEAR(A416)</f>
        <v>2022</v>
      </c>
      <c r="C416" s="4" t="str">
        <f>TEXT(A416,"mmmm")</f>
        <v>November</v>
      </c>
      <c r="D416" s="4">
        <f>Raw_Data!A416</f>
        <v>18</v>
      </c>
      <c r="E416" s="4" t="str">
        <f>Raw_Data!B416</f>
        <v>i</v>
      </c>
      <c r="F416" s="4">
        <f>Raw_Data!C416</f>
        <v>343.51626370000002</v>
      </c>
    </row>
    <row r="417" spans="1:6" thickTop="1" thickBot="1" x14ac:dyDescent="0.35">
      <c r="A417" s="5">
        <f>Raw_Data!D417</f>
        <v>44575</v>
      </c>
      <c r="B417" s="4">
        <f>YEAR(A417)</f>
        <v>2022</v>
      </c>
      <c r="C417" s="4" t="str">
        <f>TEXT(A417,"mmmm")</f>
        <v>January</v>
      </c>
      <c r="D417" s="4">
        <f>Raw_Data!A417</f>
        <v>81</v>
      </c>
      <c r="E417" s="4" t="str">
        <f>Raw_Data!B417</f>
        <v>f</v>
      </c>
      <c r="F417" s="4">
        <f>Raw_Data!C417</f>
        <v>400.58273500000001</v>
      </c>
    </row>
    <row r="418" spans="1:6" thickTop="1" thickBot="1" x14ac:dyDescent="0.35">
      <c r="A418" s="5">
        <f>Raw_Data!D418</f>
        <v>44739</v>
      </c>
      <c r="B418" s="4">
        <f>YEAR(A418)</f>
        <v>2022</v>
      </c>
      <c r="C418" s="4" t="str">
        <f>TEXT(A418,"mmmm")</f>
        <v>June</v>
      </c>
      <c r="D418" s="4">
        <f>Raw_Data!A418</f>
        <v>84</v>
      </c>
      <c r="E418" s="4" t="str">
        <f>Raw_Data!B418</f>
        <v>f</v>
      </c>
      <c r="F418" s="4">
        <f>Raw_Data!C418</f>
        <v>555.75281559999996</v>
      </c>
    </row>
    <row r="419" spans="1:6" thickTop="1" thickBot="1" x14ac:dyDescent="0.35">
      <c r="A419" s="5">
        <f>Raw_Data!D419</f>
        <v>44800</v>
      </c>
      <c r="B419" s="4">
        <f>YEAR(A419)</f>
        <v>2022</v>
      </c>
      <c r="C419" s="4" t="str">
        <f>TEXT(A419,"mmmm")</f>
        <v>August</v>
      </c>
      <c r="D419" s="4">
        <f>Raw_Data!A419</f>
        <v>59</v>
      </c>
      <c r="E419" s="4" t="str">
        <f>Raw_Data!B419</f>
        <v>h</v>
      </c>
      <c r="F419" s="4">
        <f>Raw_Data!C419</f>
        <v>306.7220461</v>
      </c>
    </row>
    <row r="420" spans="1:6" thickTop="1" thickBot="1" x14ac:dyDescent="0.35">
      <c r="A420" s="5">
        <f>Raw_Data!D420</f>
        <v>44701</v>
      </c>
      <c r="B420" s="4">
        <f>YEAR(A420)</f>
        <v>2022</v>
      </c>
      <c r="C420" s="4" t="str">
        <f>TEXT(A420,"mmmm")</f>
        <v>May</v>
      </c>
      <c r="D420" s="4">
        <f>Raw_Data!A420</f>
        <v>9</v>
      </c>
      <c r="E420" s="4" t="str">
        <f>Raw_Data!B420</f>
        <v>d</v>
      </c>
      <c r="F420" s="4">
        <f>Raw_Data!C420</f>
        <v>451.19206589999999</v>
      </c>
    </row>
    <row r="421" spans="1:6" thickTop="1" thickBot="1" x14ac:dyDescent="0.35">
      <c r="A421" s="5">
        <f>Raw_Data!D421</f>
        <v>44864</v>
      </c>
      <c r="B421" s="4">
        <f>YEAR(A421)</f>
        <v>2022</v>
      </c>
      <c r="C421" s="4" t="str">
        <f>TEXT(A421,"mmmm")</f>
        <v>October</v>
      </c>
      <c r="D421" s="4">
        <f>Raw_Data!A421</f>
        <v>53</v>
      </c>
      <c r="E421" s="4" t="str">
        <f>Raw_Data!B421</f>
        <v>f</v>
      </c>
      <c r="F421" s="4">
        <f>Raw_Data!C421</f>
        <v>492.93026409999999</v>
      </c>
    </row>
    <row r="422" spans="1:6" thickTop="1" thickBot="1" x14ac:dyDescent="0.35">
      <c r="A422" s="5">
        <f>Raw_Data!D422</f>
        <v>44682</v>
      </c>
      <c r="B422" s="4">
        <f>YEAR(A422)</f>
        <v>2022</v>
      </c>
      <c r="C422" s="4" t="str">
        <f>TEXT(A422,"mmmm")</f>
        <v>May</v>
      </c>
      <c r="D422" s="4">
        <f>Raw_Data!A422</f>
        <v>11</v>
      </c>
      <c r="E422" s="4" t="str">
        <f>Raw_Data!B422</f>
        <v>a</v>
      </c>
      <c r="F422" s="4">
        <f>Raw_Data!C422</f>
        <v>358.04127469999997</v>
      </c>
    </row>
    <row r="423" spans="1:6" thickTop="1" thickBot="1" x14ac:dyDescent="0.35">
      <c r="A423" s="5">
        <f>Raw_Data!D423</f>
        <v>44861</v>
      </c>
      <c r="B423" s="4">
        <f>YEAR(A423)</f>
        <v>2022</v>
      </c>
      <c r="C423" s="4" t="str">
        <f>TEXT(A423,"mmmm")</f>
        <v>October</v>
      </c>
      <c r="D423" s="4">
        <f>Raw_Data!A423</f>
        <v>8</v>
      </c>
      <c r="E423" s="4" t="str">
        <f>Raw_Data!B423</f>
        <v>d</v>
      </c>
      <c r="F423" s="4">
        <f>Raw_Data!C423</f>
        <v>518.95484569999996</v>
      </c>
    </row>
    <row r="424" spans="1:6" thickTop="1" thickBot="1" x14ac:dyDescent="0.35">
      <c r="A424" s="5">
        <f>Raw_Data!D424</f>
        <v>44797</v>
      </c>
      <c r="B424" s="4">
        <f>YEAR(A424)</f>
        <v>2022</v>
      </c>
      <c r="C424" s="4" t="str">
        <f>TEXT(A424,"mmmm")</f>
        <v>August</v>
      </c>
      <c r="D424" s="4">
        <f>Raw_Data!A424</f>
        <v>5</v>
      </c>
      <c r="E424" s="4" t="str">
        <f>Raw_Data!B424</f>
        <v>f</v>
      </c>
      <c r="F424" s="4">
        <f>Raw_Data!C424</f>
        <v>237.75661969999999</v>
      </c>
    </row>
    <row r="425" spans="1:6" thickTop="1" thickBot="1" x14ac:dyDescent="0.35">
      <c r="A425" s="5">
        <f>Raw_Data!D425</f>
        <v>44691</v>
      </c>
      <c r="B425" s="4">
        <f>YEAR(A425)</f>
        <v>2022</v>
      </c>
      <c r="C425" s="4" t="str">
        <f>TEXT(A425,"mmmm")</f>
        <v>May</v>
      </c>
      <c r="D425" s="4">
        <f>Raw_Data!A425</f>
        <v>29</v>
      </c>
      <c r="E425" s="4" t="str">
        <f>Raw_Data!B425</f>
        <v>j</v>
      </c>
      <c r="F425" s="4">
        <f>Raw_Data!C425</f>
        <v>332.30560659999998</v>
      </c>
    </row>
    <row r="426" spans="1:6" thickTop="1" thickBot="1" x14ac:dyDescent="0.35">
      <c r="A426" s="5">
        <f>Raw_Data!D426</f>
        <v>44924</v>
      </c>
      <c r="B426" s="4">
        <f>YEAR(A426)</f>
        <v>2022</v>
      </c>
      <c r="C426" s="4" t="str">
        <f>TEXT(A426,"mmmm")</f>
        <v>December</v>
      </c>
      <c r="D426" s="4">
        <f>Raw_Data!A426</f>
        <v>50</v>
      </c>
      <c r="E426" s="4" t="str">
        <f>Raw_Data!B426</f>
        <v>g</v>
      </c>
      <c r="F426" s="4">
        <f>Raw_Data!C426</f>
        <v>654.27562829999999</v>
      </c>
    </row>
    <row r="427" spans="1:6" thickTop="1" thickBot="1" x14ac:dyDescent="0.35">
      <c r="A427" s="5">
        <f>Raw_Data!D427</f>
        <v>44644</v>
      </c>
      <c r="B427" s="4">
        <f>YEAR(A427)</f>
        <v>2022</v>
      </c>
      <c r="C427" s="4" t="str">
        <f>TEXT(A427,"mmmm")</f>
        <v>March</v>
      </c>
      <c r="D427" s="4">
        <f>Raw_Data!A427</f>
        <v>70</v>
      </c>
      <c r="E427" s="4" t="str">
        <f>Raw_Data!B427</f>
        <v>g</v>
      </c>
      <c r="F427" s="4">
        <f>Raw_Data!C427</f>
        <v>668.12303150000002</v>
      </c>
    </row>
    <row r="428" spans="1:6" thickTop="1" thickBot="1" x14ac:dyDescent="0.35">
      <c r="A428" s="5">
        <f>Raw_Data!D428</f>
        <v>44671</v>
      </c>
      <c r="B428" s="4">
        <f>YEAR(A428)</f>
        <v>2022</v>
      </c>
      <c r="C428" s="4" t="str">
        <f>TEXT(A428,"mmmm")</f>
        <v>April</v>
      </c>
      <c r="D428" s="4">
        <f>Raw_Data!A428</f>
        <v>74</v>
      </c>
      <c r="E428" s="4" t="str">
        <f>Raw_Data!B428</f>
        <v>e</v>
      </c>
      <c r="F428" s="4">
        <f>Raw_Data!C428</f>
        <v>604.31016690000001</v>
      </c>
    </row>
    <row r="429" spans="1:6" thickTop="1" thickBot="1" x14ac:dyDescent="0.35">
      <c r="A429" s="5">
        <f>Raw_Data!D429</f>
        <v>44812</v>
      </c>
      <c r="B429" s="4">
        <f>YEAR(A429)</f>
        <v>2022</v>
      </c>
      <c r="C429" s="4" t="str">
        <f>TEXT(A429,"mmmm")</f>
        <v>September</v>
      </c>
      <c r="D429" s="4">
        <f>Raw_Data!A429</f>
        <v>26</v>
      </c>
      <c r="E429" s="4" t="str">
        <f>Raw_Data!B429</f>
        <v>a</v>
      </c>
      <c r="F429" s="4">
        <f>Raw_Data!C429</f>
        <v>754.09711049999999</v>
      </c>
    </row>
    <row r="430" spans="1:6" thickTop="1" thickBot="1" x14ac:dyDescent="0.35">
      <c r="A430" s="5">
        <f>Raw_Data!D430</f>
        <v>44590</v>
      </c>
      <c r="B430" s="4">
        <f>YEAR(A430)</f>
        <v>2022</v>
      </c>
      <c r="C430" s="4" t="str">
        <f>TEXT(A430,"mmmm")</f>
        <v>January</v>
      </c>
      <c r="D430" s="4">
        <f>Raw_Data!A430</f>
        <v>73</v>
      </c>
      <c r="E430" s="4" t="str">
        <f>Raw_Data!B430</f>
        <v>c</v>
      </c>
      <c r="F430" s="4">
        <f>Raw_Data!C430</f>
        <v>443.82204869999998</v>
      </c>
    </row>
    <row r="431" spans="1:6" thickTop="1" thickBot="1" x14ac:dyDescent="0.35">
      <c r="A431" s="5">
        <f>Raw_Data!D431</f>
        <v>44905</v>
      </c>
      <c r="B431" s="4">
        <f>YEAR(A431)</f>
        <v>2022</v>
      </c>
      <c r="C431" s="4" t="str">
        <f>TEXT(A431,"mmmm")</f>
        <v>December</v>
      </c>
      <c r="D431" s="4">
        <f>Raw_Data!A431</f>
        <v>11</v>
      </c>
      <c r="E431" s="4" t="str">
        <f>Raw_Data!B431</f>
        <v>h</v>
      </c>
      <c r="F431" s="4">
        <f>Raw_Data!C431</f>
        <v>674.40459959999998</v>
      </c>
    </row>
    <row r="432" spans="1:6" thickTop="1" thickBot="1" x14ac:dyDescent="0.35">
      <c r="A432" s="5">
        <f>Raw_Data!D432</f>
        <v>44902</v>
      </c>
      <c r="B432" s="4">
        <f>YEAR(A432)</f>
        <v>2022</v>
      </c>
      <c r="C432" s="4" t="str">
        <f>TEXT(A432,"mmmm")</f>
        <v>December</v>
      </c>
      <c r="D432" s="4">
        <f>Raw_Data!A432</f>
        <v>6</v>
      </c>
      <c r="E432" s="4" t="str">
        <f>Raw_Data!B432</f>
        <v>a</v>
      </c>
      <c r="F432" s="4">
        <f>Raw_Data!C432</f>
        <v>385.85404240000003</v>
      </c>
    </row>
    <row r="433" spans="1:6" thickTop="1" thickBot="1" x14ac:dyDescent="0.35">
      <c r="A433" s="5">
        <f>Raw_Data!D433</f>
        <v>44794</v>
      </c>
      <c r="B433" s="4">
        <f>YEAR(A433)</f>
        <v>2022</v>
      </c>
      <c r="C433" s="4" t="str">
        <f>TEXT(A433,"mmmm")</f>
        <v>August</v>
      </c>
      <c r="D433" s="4">
        <f>Raw_Data!A433</f>
        <v>96</v>
      </c>
      <c r="E433" s="4" t="str">
        <f>Raw_Data!B433</f>
        <v>h</v>
      </c>
      <c r="F433" s="4">
        <f>Raw_Data!C433</f>
        <v>590.93334430000004</v>
      </c>
    </row>
    <row r="434" spans="1:6" thickTop="1" thickBot="1" x14ac:dyDescent="0.35">
      <c r="A434" s="5">
        <f>Raw_Data!D434</f>
        <v>44772</v>
      </c>
      <c r="B434" s="4">
        <f>YEAR(A434)</f>
        <v>2022</v>
      </c>
      <c r="C434" s="4" t="str">
        <f>TEXT(A434,"mmmm")</f>
        <v>July</v>
      </c>
      <c r="D434" s="4">
        <f>Raw_Data!A434</f>
        <v>76</v>
      </c>
      <c r="E434" s="4" t="str">
        <f>Raw_Data!B434</f>
        <v>g</v>
      </c>
      <c r="F434" s="4">
        <f>Raw_Data!C434</f>
        <v>330.67046019999998</v>
      </c>
    </row>
    <row r="435" spans="1:6" thickTop="1" thickBot="1" x14ac:dyDescent="0.35">
      <c r="A435" s="5">
        <f>Raw_Data!D435</f>
        <v>44817</v>
      </c>
      <c r="B435" s="4">
        <f>YEAR(A435)</f>
        <v>2022</v>
      </c>
      <c r="C435" s="4" t="str">
        <f>TEXT(A435,"mmmm")</f>
        <v>September</v>
      </c>
      <c r="D435" s="4">
        <f>Raw_Data!A435</f>
        <v>83</v>
      </c>
      <c r="E435" s="4" t="str">
        <f>Raw_Data!B435</f>
        <v>c</v>
      </c>
      <c r="F435" s="4">
        <f>Raw_Data!C435</f>
        <v>553.83084159999999</v>
      </c>
    </row>
    <row r="436" spans="1:6" thickTop="1" thickBot="1" x14ac:dyDescent="0.35">
      <c r="A436" s="5">
        <f>Raw_Data!D436</f>
        <v>44642</v>
      </c>
      <c r="B436" s="4">
        <f>YEAR(A436)</f>
        <v>2022</v>
      </c>
      <c r="C436" s="4" t="str">
        <f>TEXT(A436,"mmmm")</f>
        <v>March</v>
      </c>
      <c r="D436" s="4">
        <f>Raw_Data!A436</f>
        <v>91</v>
      </c>
      <c r="E436" s="4" t="str">
        <f>Raw_Data!B436</f>
        <v>a</v>
      </c>
      <c r="F436" s="4">
        <f>Raw_Data!C436</f>
        <v>285.28601409999999</v>
      </c>
    </row>
    <row r="437" spans="1:6" thickTop="1" thickBot="1" x14ac:dyDescent="0.35">
      <c r="A437" s="5">
        <f>Raw_Data!D437</f>
        <v>44700</v>
      </c>
      <c r="B437" s="4">
        <f>YEAR(A437)</f>
        <v>2022</v>
      </c>
      <c r="C437" s="4" t="str">
        <f>TEXT(A437,"mmmm")</f>
        <v>May</v>
      </c>
      <c r="D437" s="4">
        <f>Raw_Data!A437</f>
        <v>56</v>
      </c>
      <c r="E437" s="4" t="str">
        <f>Raw_Data!B437</f>
        <v>h</v>
      </c>
      <c r="F437" s="4">
        <f>Raw_Data!C437</f>
        <v>334.57018019999998</v>
      </c>
    </row>
    <row r="438" spans="1:6" thickTop="1" thickBot="1" x14ac:dyDescent="0.35">
      <c r="A438" s="5">
        <f>Raw_Data!D438</f>
        <v>44593</v>
      </c>
      <c r="B438" s="4">
        <f>YEAR(A438)</f>
        <v>2022</v>
      </c>
      <c r="C438" s="4" t="str">
        <f>TEXT(A438,"mmmm")</f>
        <v>February</v>
      </c>
      <c r="D438" s="4">
        <f>Raw_Data!A438</f>
        <v>96</v>
      </c>
      <c r="E438" s="4" t="str">
        <f>Raw_Data!B438</f>
        <v>h</v>
      </c>
      <c r="F438" s="4">
        <f>Raw_Data!C438</f>
        <v>382.78593210000003</v>
      </c>
    </row>
    <row r="439" spans="1:6" thickTop="1" thickBot="1" x14ac:dyDescent="0.35">
      <c r="A439" s="5">
        <f>Raw_Data!D439</f>
        <v>44665</v>
      </c>
      <c r="B439" s="4">
        <f>YEAR(A439)</f>
        <v>2022</v>
      </c>
      <c r="C439" s="4" t="str">
        <f>TEXT(A439,"mmmm")</f>
        <v>April</v>
      </c>
      <c r="D439" s="4">
        <f>Raw_Data!A439</f>
        <v>27</v>
      </c>
      <c r="E439" s="4" t="str">
        <f>Raw_Data!B439</f>
        <v>g</v>
      </c>
      <c r="F439" s="4">
        <f>Raw_Data!C439</f>
        <v>426.08994969999998</v>
      </c>
    </row>
    <row r="440" spans="1:6" thickTop="1" thickBot="1" x14ac:dyDescent="0.35">
      <c r="A440" s="5">
        <f>Raw_Data!D440</f>
        <v>44640</v>
      </c>
      <c r="B440" s="4">
        <f>YEAR(A440)</f>
        <v>2022</v>
      </c>
      <c r="C440" s="4" t="str">
        <f>TEXT(A440,"mmmm")</f>
        <v>March</v>
      </c>
      <c r="D440" s="4">
        <f>Raw_Data!A440</f>
        <v>94</v>
      </c>
      <c r="E440" s="4" t="str">
        <f>Raw_Data!B440</f>
        <v>i</v>
      </c>
      <c r="F440" s="4">
        <f>Raw_Data!C440</f>
        <v>519.25011459999996</v>
      </c>
    </row>
    <row r="441" spans="1:6" thickTop="1" thickBot="1" x14ac:dyDescent="0.35">
      <c r="A441" s="5">
        <f>Raw_Data!D441</f>
        <v>44640</v>
      </c>
      <c r="B441" s="4">
        <f>YEAR(A441)</f>
        <v>2022</v>
      </c>
      <c r="C441" s="4" t="str">
        <f>TEXT(A441,"mmmm")</f>
        <v>March</v>
      </c>
      <c r="D441" s="4">
        <f>Raw_Data!A441</f>
        <v>68</v>
      </c>
      <c r="E441" s="4" t="str">
        <f>Raw_Data!B441</f>
        <v>a</v>
      </c>
      <c r="F441" s="4">
        <f>Raw_Data!C441</f>
        <v>481.0262348</v>
      </c>
    </row>
    <row r="442" spans="1:6" thickTop="1" thickBot="1" x14ac:dyDescent="0.35">
      <c r="A442" s="5">
        <f>Raw_Data!D442</f>
        <v>44633</v>
      </c>
      <c r="B442" s="4">
        <f>YEAR(A442)</f>
        <v>2022</v>
      </c>
      <c r="C442" s="4" t="str">
        <f>TEXT(A442,"mmmm")</f>
        <v>March</v>
      </c>
      <c r="D442" s="4">
        <f>Raw_Data!A442</f>
        <v>88</v>
      </c>
      <c r="E442" s="4" t="str">
        <f>Raw_Data!B442</f>
        <v>h</v>
      </c>
      <c r="F442" s="4">
        <f>Raw_Data!C442</f>
        <v>633.36850770000001</v>
      </c>
    </row>
    <row r="443" spans="1:6" thickTop="1" thickBot="1" x14ac:dyDescent="0.35">
      <c r="A443" s="5">
        <f>Raw_Data!D443</f>
        <v>44715</v>
      </c>
      <c r="B443" s="4">
        <f>YEAR(A443)</f>
        <v>2022</v>
      </c>
      <c r="C443" s="4" t="str">
        <f>TEXT(A443,"mmmm")</f>
        <v>June</v>
      </c>
      <c r="D443" s="4">
        <f>Raw_Data!A443</f>
        <v>28</v>
      </c>
      <c r="E443" s="4" t="str">
        <f>Raw_Data!B443</f>
        <v>a</v>
      </c>
      <c r="F443" s="4">
        <f>Raw_Data!C443</f>
        <v>648.77974940000001</v>
      </c>
    </row>
    <row r="444" spans="1:6" thickTop="1" thickBot="1" x14ac:dyDescent="0.35">
      <c r="A444" s="5">
        <f>Raw_Data!D444</f>
        <v>44674</v>
      </c>
      <c r="B444" s="4">
        <f>YEAR(A444)</f>
        <v>2022</v>
      </c>
      <c r="C444" s="4" t="str">
        <f>TEXT(A444,"mmmm")</f>
        <v>April</v>
      </c>
      <c r="D444" s="4">
        <f>Raw_Data!A444</f>
        <v>67</v>
      </c>
      <c r="E444" s="4" t="str">
        <f>Raw_Data!B444</f>
        <v>f</v>
      </c>
      <c r="F444" s="4">
        <f>Raw_Data!C444</f>
        <v>586.0573296</v>
      </c>
    </row>
    <row r="445" spans="1:6" thickTop="1" thickBot="1" x14ac:dyDescent="0.35">
      <c r="A445" s="5">
        <f>Raw_Data!D445</f>
        <v>44746</v>
      </c>
      <c r="B445" s="4">
        <f>YEAR(A445)</f>
        <v>2022</v>
      </c>
      <c r="C445" s="4" t="str">
        <f>TEXT(A445,"mmmm")</f>
        <v>July</v>
      </c>
      <c r="D445" s="4">
        <f>Raw_Data!A445</f>
        <v>40</v>
      </c>
      <c r="E445" s="4" t="str">
        <f>Raw_Data!B445</f>
        <v>b</v>
      </c>
      <c r="F445" s="4">
        <f>Raw_Data!C445</f>
        <v>459.0011768</v>
      </c>
    </row>
    <row r="446" spans="1:6" thickTop="1" thickBot="1" x14ac:dyDescent="0.35">
      <c r="A446" s="5">
        <f>Raw_Data!D446</f>
        <v>44792</v>
      </c>
      <c r="B446" s="4">
        <f>YEAR(A446)</f>
        <v>2022</v>
      </c>
      <c r="C446" s="4" t="str">
        <f>TEXT(A446,"mmmm")</f>
        <v>August</v>
      </c>
      <c r="D446" s="4">
        <f>Raw_Data!A446</f>
        <v>6</v>
      </c>
      <c r="E446" s="4" t="str">
        <f>Raw_Data!B446</f>
        <v>e</v>
      </c>
      <c r="F446" s="4">
        <f>Raw_Data!C446</f>
        <v>500.9603735</v>
      </c>
    </row>
    <row r="447" spans="1:6" thickTop="1" thickBot="1" x14ac:dyDescent="0.35">
      <c r="A447" s="5">
        <f>Raw_Data!D447</f>
        <v>44835</v>
      </c>
      <c r="B447" s="4">
        <f>YEAR(A447)</f>
        <v>2022</v>
      </c>
      <c r="C447" s="4" t="str">
        <f>TEXT(A447,"mmmm")</f>
        <v>October</v>
      </c>
      <c r="D447" s="4">
        <f>Raw_Data!A447</f>
        <v>36</v>
      </c>
      <c r="E447" s="4" t="str">
        <f>Raw_Data!B447</f>
        <v>j</v>
      </c>
      <c r="F447" s="4">
        <f>Raw_Data!C447</f>
        <v>485.57345800000002</v>
      </c>
    </row>
    <row r="448" spans="1:6" thickTop="1" thickBot="1" x14ac:dyDescent="0.35">
      <c r="A448" s="5">
        <f>Raw_Data!D448</f>
        <v>44803</v>
      </c>
      <c r="B448" s="4">
        <f>YEAR(A448)</f>
        <v>2022</v>
      </c>
      <c r="C448" s="4" t="str">
        <f>TEXT(A448,"mmmm")</f>
        <v>August</v>
      </c>
      <c r="D448" s="4">
        <f>Raw_Data!A448</f>
        <v>55</v>
      </c>
      <c r="E448" s="4" t="str">
        <f>Raw_Data!B448</f>
        <v>c</v>
      </c>
      <c r="F448" s="4">
        <f>Raw_Data!C448</f>
        <v>600.10663969999996</v>
      </c>
    </row>
    <row r="449" spans="1:6" thickTop="1" thickBot="1" x14ac:dyDescent="0.35">
      <c r="A449" s="5">
        <f>Raw_Data!D449</f>
        <v>44709</v>
      </c>
      <c r="B449" s="4">
        <f>YEAR(A449)</f>
        <v>2022</v>
      </c>
      <c r="C449" s="4" t="str">
        <f>TEXT(A449,"mmmm")</f>
        <v>May</v>
      </c>
      <c r="D449" s="4">
        <f>Raw_Data!A449</f>
        <v>94</v>
      </c>
      <c r="E449" s="4" t="str">
        <f>Raw_Data!B449</f>
        <v>j</v>
      </c>
      <c r="F449" s="4">
        <f>Raw_Data!C449</f>
        <v>492.56597140000002</v>
      </c>
    </row>
    <row r="450" spans="1:6" thickTop="1" thickBot="1" x14ac:dyDescent="0.35">
      <c r="A450" s="5">
        <f>Raw_Data!D450</f>
        <v>44803</v>
      </c>
      <c r="B450" s="4">
        <f>YEAR(A450)</f>
        <v>2022</v>
      </c>
      <c r="C450" s="4" t="str">
        <f>TEXT(A450,"mmmm")</f>
        <v>August</v>
      </c>
      <c r="D450" s="4">
        <f>Raw_Data!A450</f>
        <v>48</v>
      </c>
      <c r="E450" s="4" t="str">
        <f>Raw_Data!B450</f>
        <v>d</v>
      </c>
      <c r="F450" s="4">
        <f>Raw_Data!C450</f>
        <v>424.76107689999998</v>
      </c>
    </row>
    <row r="451" spans="1:6" thickTop="1" thickBot="1" x14ac:dyDescent="0.35">
      <c r="A451" s="5">
        <f>Raw_Data!D451</f>
        <v>44903</v>
      </c>
      <c r="B451" s="4">
        <f>YEAR(A451)</f>
        <v>2022</v>
      </c>
      <c r="C451" s="4" t="str">
        <f>TEXT(A451,"mmmm")</f>
        <v>December</v>
      </c>
      <c r="D451" s="4">
        <f>Raw_Data!A451</f>
        <v>10</v>
      </c>
      <c r="E451" s="4" t="str">
        <f>Raw_Data!B451</f>
        <v>h</v>
      </c>
      <c r="F451" s="4">
        <f>Raw_Data!C451</f>
        <v>555.17417829999999</v>
      </c>
    </row>
    <row r="452" spans="1:6" thickTop="1" thickBot="1" x14ac:dyDescent="0.35">
      <c r="A452" s="5">
        <f>Raw_Data!D452</f>
        <v>44735</v>
      </c>
      <c r="B452" s="4">
        <f>YEAR(A452)</f>
        <v>2022</v>
      </c>
      <c r="C452" s="4" t="str">
        <f>TEXT(A452,"mmmm")</f>
        <v>June</v>
      </c>
      <c r="D452" s="4">
        <f>Raw_Data!A452</f>
        <v>25</v>
      </c>
      <c r="E452" s="4" t="str">
        <f>Raw_Data!B452</f>
        <v>f</v>
      </c>
      <c r="F452" s="4">
        <f>Raw_Data!C452</f>
        <v>282.1783279</v>
      </c>
    </row>
    <row r="453" spans="1:6" thickTop="1" thickBot="1" x14ac:dyDescent="0.35">
      <c r="A453" s="5">
        <f>Raw_Data!D453</f>
        <v>44913</v>
      </c>
      <c r="B453" s="4">
        <f>YEAR(A453)</f>
        <v>2022</v>
      </c>
      <c r="C453" s="4" t="str">
        <f>TEXT(A453,"mmmm")</f>
        <v>December</v>
      </c>
      <c r="D453" s="4">
        <f>Raw_Data!A453</f>
        <v>38</v>
      </c>
      <c r="E453" s="4" t="str">
        <f>Raw_Data!B453</f>
        <v>i</v>
      </c>
      <c r="F453" s="4">
        <f>Raw_Data!C453</f>
        <v>509.2511141</v>
      </c>
    </row>
    <row r="454" spans="1:6" thickTop="1" thickBot="1" x14ac:dyDescent="0.35">
      <c r="A454" s="5">
        <f>Raw_Data!D454</f>
        <v>44756</v>
      </c>
      <c r="B454" s="4">
        <f>YEAR(A454)</f>
        <v>2022</v>
      </c>
      <c r="C454" s="4" t="str">
        <f>TEXT(A454,"mmmm")</f>
        <v>July</v>
      </c>
      <c r="D454" s="4">
        <f>Raw_Data!A454</f>
        <v>100</v>
      </c>
      <c r="E454" s="4" t="str">
        <f>Raw_Data!B454</f>
        <v>e</v>
      </c>
      <c r="F454" s="4">
        <f>Raw_Data!C454</f>
        <v>431.29004220000002</v>
      </c>
    </row>
    <row r="455" spans="1:6" thickTop="1" thickBot="1" x14ac:dyDescent="0.35">
      <c r="A455" s="5">
        <f>Raw_Data!D455</f>
        <v>44563</v>
      </c>
      <c r="B455" s="4">
        <f>YEAR(A455)</f>
        <v>2022</v>
      </c>
      <c r="C455" s="4" t="str">
        <f>TEXT(A455,"mmmm")</f>
        <v>January</v>
      </c>
      <c r="D455" s="4">
        <f>Raw_Data!A455</f>
        <v>25</v>
      </c>
      <c r="E455" s="4" t="str">
        <f>Raw_Data!B455</f>
        <v>a</v>
      </c>
      <c r="F455" s="4">
        <f>Raw_Data!C455</f>
        <v>464.98274730000003</v>
      </c>
    </row>
    <row r="456" spans="1:6" thickTop="1" thickBot="1" x14ac:dyDescent="0.35">
      <c r="A456" s="5">
        <f>Raw_Data!D456</f>
        <v>44720</v>
      </c>
      <c r="B456" s="4">
        <f>YEAR(A456)</f>
        <v>2022</v>
      </c>
      <c r="C456" s="4" t="str">
        <f>TEXT(A456,"mmmm")</f>
        <v>June</v>
      </c>
      <c r="D456" s="4">
        <f>Raw_Data!A456</f>
        <v>4</v>
      </c>
      <c r="E456" s="4" t="str">
        <f>Raw_Data!B456</f>
        <v>a</v>
      </c>
      <c r="F456" s="4">
        <f>Raw_Data!C456</f>
        <v>559.99332489999995</v>
      </c>
    </row>
    <row r="457" spans="1:6" thickTop="1" thickBot="1" x14ac:dyDescent="0.35">
      <c r="A457" s="5">
        <f>Raw_Data!D457</f>
        <v>44925</v>
      </c>
      <c r="B457" s="4">
        <f>YEAR(A457)</f>
        <v>2022</v>
      </c>
      <c r="C457" s="4" t="str">
        <f>TEXT(A457,"mmmm")</f>
        <v>December</v>
      </c>
      <c r="D457" s="4">
        <f>Raw_Data!A457</f>
        <v>79</v>
      </c>
      <c r="E457" s="4" t="str">
        <f>Raw_Data!B457</f>
        <v>b</v>
      </c>
      <c r="F457" s="4">
        <f>Raw_Data!C457</f>
        <v>523.24404270000002</v>
      </c>
    </row>
    <row r="458" spans="1:6" thickTop="1" thickBot="1" x14ac:dyDescent="0.35">
      <c r="A458" s="5">
        <f>Raw_Data!D458</f>
        <v>44869</v>
      </c>
      <c r="B458" s="4">
        <f>YEAR(A458)</f>
        <v>2022</v>
      </c>
      <c r="C458" s="4" t="str">
        <f>TEXT(A458,"mmmm")</f>
        <v>November</v>
      </c>
      <c r="D458" s="4">
        <f>Raw_Data!A458</f>
        <v>52</v>
      </c>
      <c r="E458" s="4" t="str">
        <f>Raw_Data!B458</f>
        <v>j</v>
      </c>
      <c r="F458" s="4">
        <f>Raw_Data!C458</f>
        <v>562.49390149999999</v>
      </c>
    </row>
    <row r="459" spans="1:6" thickTop="1" thickBot="1" x14ac:dyDescent="0.35">
      <c r="A459" s="5">
        <f>Raw_Data!D459</f>
        <v>44586</v>
      </c>
      <c r="B459" s="4">
        <f>YEAR(A459)</f>
        <v>2022</v>
      </c>
      <c r="C459" s="4" t="str">
        <f>TEXT(A459,"mmmm")</f>
        <v>January</v>
      </c>
      <c r="D459" s="4">
        <f>Raw_Data!A459</f>
        <v>22</v>
      </c>
      <c r="E459" s="4" t="str">
        <f>Raw_Data!B459</f>
        <v>i</v>
      </c>
      <c r="F459" s="4">
        <f>Raw_Data!C459</f>
        <v>502.77942780000001</v>
      </c>
    </row>
    <row r="460" spans="1:6" thickTop="1" thickBot="1" x14ac:dyDescent="0.35">
      <c r="A460" s="5">
        <f>Raw_Data!D460</f>
        <v>44910</v>
      </c>
      <c r="B460" s="4">
        <f>YEAR(A460)</f>
        <v>2022</v>
      </c>
      <c r="C460" s="4" t="str">
        <f>TEXT(A460,"mmmm")</f>
        <v>December</v>
      </c>
      <c r="D460" s="4">
        <f>Raw_Data!A460</f>
        <v>24</v>
      </c>
      <c r="E460" s="4" t="str">
        <f>Raw_Data!B460</f>
        <v>a</v>
      </c>
      <c r="F460" s="4">
        <f>Raw_Data!C460</f>
        <v>416.12173689999997</v>
      </c>
    </row>
    <row r="461" spans="1:6" thickTop="1" thickBot="1" x14ac:dyDescent="0.35">
      <c r="A461" s="5">
        <f>Raw_Data!D461</f>
        <v>44845</v>
      </c>
      <c r="B461" s="4">
        <f>YEAR(A461)</f>
        <v>2022</v>
      </c>
      <c r="C461" s="4" t="str">
        <f>TEXT(A461,"mmmm")</f>
        <v>October</v>
      </c>
      <c r="D461" s="4">
        <f>Raw_Data!A461</f>
        <v>39</v>
      </c>
      <c r="E461" s="4" t="str">
        <f>Raw_Data!B461</f>
        <v>b</v>
      </c>
      <c r="F461" s="4">
        <f>Raw_Data!C461</f>
        <v>398.21894200000003</v>
      </c>
    </row>
    <row r="462" spans="1:6" thickTop="1" thickBot="1" x14ac:dyDescent="0.35">
      <c r="A462" s="5">
        <f>Raw_Data!D462</f>
        <v>44812</v>
      </c>
      <c r="B462" s="4">
        <f>YEAR(A462)</f>
        <v>2022</v>
      </c>
      <c r="C462" s="4" t="str">
        <f>TEXT(A462,"mmmm")</f>
        <v>September</v>
      </c>
      <c r="D462" s="4">
        <f>Raw_Data!A462</f>
        <v>47</v>
      </c>
      <c r="E462" s="4" t="str">
        <f>Raw_Data!B462</f>
        <v>i</v>
      </c>
      <c r="F462" s="4">
        <f>Raw_Data!C462</f>
        <v>495.21978860000002</v>
      </c>
    </row>
    <row r="463" spans="1:6" thickTop="1" thickBot="1" x14ac:dyDescent="0.35">
      <c r="A463" s="5">
        <f>Raw_Data!D463</f>
        <v>44654</v>
      </c>
      <c r="B463" s="4">
        <f>YEAR(A463)</f>
        <v>2022</v>
      </c>
      <c r="C463" s="4" t="str">
        <f>TEXT(A463,"mmmm")</f>
        <v>April</v>
      </c>
      <c r="D463" s="4">
        <f>Raw_Data!A463</f>
        <v>60</v>
      </c>
      <c r="E463" s="4" t="str">
        <f>Raw_Data!B463</f>
        <v>a</v>
      </c>
      <c r="F463" s="4">
        <f>Raw_Data!C463</f>
        <v>702.22448699999995</v>
      </c>
    </row>
    <row r="464" spans="1:6" thickTop="1" thickBot="1" x14ac:dyDescent="0.35">
      <c r="A464" s="5">
        <f>Raw_Data!D464</f>
        <v>44690</v>
      </c>
      <c r="B464" s="4">
        <f>YEAR(A464)</f>
        <v>2022</v>
      </c>
      <c r="C464" s="4" t="str">
        <f>TEXT(A464,"mmmm")</f>
        <v>May</v>
      </c>
      <c r="D464" s="4">
        <f>Raw_Data!A464</f>
        <v>63</v>
      </c>
      <c r="E464" s="4" t="str">
        <f>Raw_Data!B464</f>
        <v>b</v>
      </c>
      <c r="F464" s="4">
        <f>Raw_Data!C464</f>
        <v>330.23688670000001</v>
      </c>
    </row>
    <row r="465" spans="1:6" thickTop="1" thickBot="1" x14ac:dyDescent="0.35">
      <c r="A465" s="5">
        <f>Raw_Data!D465</f>
        <v>44848</v>
      </c>
      <c r="B465" s="4">
        <f>YEAR(A465)</f>
        <v>2022</v>
      </c>
      <c r="C465" s="4" t="str">
        <f>TEXT(A465,"mmmm")</f>
        <v>October</v>
      </c>
      <c r="D465" s="4">
        <f>Raw_Data!A465</f>
        <v>37</v>
      </c>
      <c r="E465" s="4" t="str">
        <f>Raw_Data!B465</f>
        <v>d</v>
      </c>
      <c r="F465" s="4">
        <f>Raw_Data!C465</f>
        <v>516.83828419999998</v>
      </c>
    </row>
    <row r="466" spans="1:6" thickTop="1" thickBot="1" x14ac:dyDescent="0.35">
      <c r="A466" s="5">
        <f>Raw_Data!D466</f>
        <v>44650</v>
      </c>
      <c r="B466" s="4">
        <f>YEAR(A466)</f>
        <v>2022</v>
      </c>
      <c r="C466" s="4" t="str">
        <f>TEXT(A466,"mmmm")</f>
        <v>March</v>
      </c>
      <c r="D466" s="4">
        <f>Raw_Data!A466</f>
        <v>46</v>
      </c>
      <c r="E466" s="4" t="str">
        <f>Raw_Data!B466</f>
        <v>h</v>
      </c>
      <c r="F466" s="4">
        <f>Raw_Data!C466</f>
        <v>447.77670590000002</v>
      </c>
    </row>
    <row r="467" spans="1:6" thickTop="1" thickBot="1" x14ac:dyDescent="0.35">
      <c r="A467" s="5">
        <f>Raw_Data!D467</f>
        <v>44665</v>
      </c>
      <c r="B467" s="4">
        <f>YEAR(A467)</f>
        <v>2022</v>
      </c>
      <c r="C467" s="4" t="str">
        <f>TEXT(A467,"mmmm")</f>
        <v>April</v>
      </c>
      <c r="D467" s="4">
        <f>Raw_Data!A467</f>
        <v>54</v>
      </c>
      <c r="E467" s="4" t="str">
        <f>Raw_Data!B467</f>
        <v>h</v>
      </c>
      <c r="F467" s="4">
        <f>Raw_Data!C467</f>
        <v>426.82099599999998</v>
      </c>
    </row>
    <row r="468" spans="1:6" thickTop="1" thickBot="1" x14ac:dyDescent="0.35">
      <c r="A468" s="5">
        <f>Raw_Data!D468</f>
        <v>44623</v>
      </c>
      <c r="B468" s="4">
        <f>YEAR(A468)</f>
        <v>2022</v>
      </c>
      <c r="C468" s="4" t="str">
        <f>TEXT(A468,"mmmm")</f>
        <v>March</v>
      </c>
      <c r="D468" s="4">
        <f>Raw_Data!A468</f>
        <v>47</v>
      </c>
      <c r="E468" s="4" t="str">
        <f>Raw_Data!B468</f>
        <v>e</v>
      </c>
      <c r="F468" s="4">
        <f>Raw_Data!C468</f>
        <v>555.64545180000005</v>
      </c>
    </row>
    <row r="469" spans="1:6" thickTop="1" thickBot="1" x14ac:dyDescent="0.35">
      <c r="A469" s="5">
        <f>Raw_Data!D469</f>
        <v>44567</v>
      </c>
      <c r="B469" s="4">
        <f>YEAR(A469)</f>
        <v>2022</v>
      </c>
      <c r="C469" s="4" t="str">
        <f>TEXT(A469,"mmmm")</f>
        <v>January</v>
      </c>
      <c r="D469" s="4">
        <f>Raw_Data!A469</f>
        <v>79</v>
      </c>
      <c r="E469" s="4" t="str">
        <f>Raw_Data!B469</f>
        <v>i</v>
      </c>
      <c r="F469" s="4">
        <f>Raw_Data!C469</f>
        <v>475.94373180000002</v>
      </c>
    </row>
    <row r="470" spans="1:6" thickTop="1" thickBot="1" x14ac:dyDescent="0.35">
      <c r="A470" s="5">
        <f>Raw_Data!D470</f>
        <v>44816</v>
      </c>
      <c r="B470" s="4">
        <f>YEAR(A470)</f>
        <v>2022</v>
      </c>
      <c r="C470" s="4" t="str">
        <f>TEXT(A470,"mmmm")</f>
        <v>September</v>
      </c>
      <c r="D470" s="4">
        <f>Raw_Data!A470</f>
        <v>16</v>
      </c>
      <c r="E470" s="4" t="str">
        <f>Raw_Data!B470</f>
        <v>j</v>
      </c>
      <c r="F470" s="4">
        <f>Raw_Data!C470</f>
        <v>636.55876709999995</v>
      </c>
    </row>
    <row r="471" spans="1:6" thickTop="1" thickBot="1" x14ac:dyDescent="0.35">
      <c r="A471" s="5">
        <f>Raw_Data!D471</f>
        <v>44617</v>
      </c>
      <c r="B471" s="4">
        <f>YEAR(A471)</f>
        <v>2022</v>
      </c>
      <c r="C471" s="4" t="str">
        <f>TEXT(A471,"mmmm")</f>
        <v>February</v>
      </c>
      <c r="D471" s="4">
        <f>Raw_Data!A471</f>
        <v>19</v>
      </c>
      <c r="E471" s="4" t="str">
        <f>Raw_Data!B471</f>
        <v>a</v>
      </c>
      <c r="F471" s="4">
        <f>Raw_Data!C471</f>
        <v>422.1256052</v>
      </c>
    </row>
    <row r="472" spans="1:6" thickTop="1" thickBot="1" x14ac:dyDescent="0.35">
      <c r="A472" s="5">
        <f>Raw_Data!D472</f>
        <v>44581</v>
      </c>
      <c r="B472" s="4">
        <f>YEAR(A472)</f>
        <v>2022</v>
      </c>
      <c r="C472" s="4" t="str">
        <f>TEXT(A472,"mmmm")</f>
        <v>January</v>
      </c>
      <c r="D472" s="4">
        <f>Raw_Data!A472</f>
        <v>72</v>
      </c>
      <c r="E472" s="4" t="str">
        <f>Raw_Data!B472</f>
        <v>d</v>
      </c>
      <c r="F472" s="4">
        <f>Raw_Data!C472</f>
        <v>325.68434439999999</v>
      </c>
    </row>
    <row r="473" spans="1:6" thickTop="1" thickBot="1" x14ac:dyDescent="0.35">
      <c r="A473" s="5">
        <f>Raw_Data!D473</f>
        <v>44909</v>
      </c>
      <c r="B473" s="4">
        <f>YEAR(A473)</f>
        <v>2022</v>
      </c>
      <c r="C473" s="4" t="str">
        <f>TEXT(A473,"mmmm")</f>
        <v>December</v>
      </c>
      <c r="D473" s="4">
        <f>Raw_Data!A473</f>
        <v>31</v>
      </c>
      <c r="E473" s="4" t="str">
        <f>Raw_Data!B473</f>
        <v>g</v>
      </c>
      <c r="F473" s="4">
        <f>Raw_Data!C473</f>
        <v>378.8377514</v>
      </c>
    </row>
    <row r="474" spans="1:6" thickTop="1" thickBot="1" x14ac:dyDescent="0.35">
      <c r="A474" s="5">
        <f>Raw_Data!D474</f>
        <v>44611</v>
      </c>
      <c r="B474" s="4">
        <f>YEAR(A474)</f>
        <v>2022</v>
      </c>
      <c r="C474" s="4" t="str">
        <f>TEXT(A474,"mmmm")</f>
        <v>February</v>
      </c>
      <c r="D474" s="4">
        <f>Raw_Data!A474</f>
        <v>37</v>
      </c>
      <c r="E474" s="4" t="str">
        <f>Raw_Data!B474</f>
        <v>f</v>
      </c>
      <c r="F474" s="4">
        <f>Raw_Data!C474</f>
        <v>377.95342310000001</v>
      </c>
    </row>
    <row r="475" spans="1:6" thickTop="1" thickBot="1" x14ac:dyDescent="0.35">
      <c r="A475" s="5">
        <f>Raw_Data!D475</f>
        <v>44763</v>
      </c>
      <c r="B475" s="4">
        <f>YEAR(A475)</f>
        <v>2022</v>
      </c>
      <c r="C475" s="4" t="str">
        <f>TEXT(A475,"mmmm")</f>
        <v>July</v>
      </c>
      <c r="D475" s="4">
        <f>Raw_Data!A475</f>
        <v>48</v>
      </c>
      <c r="E475" s="4" t="str">
        <f>Raw_Data!B475</f>
        <v>b</v>
      </c>
      <c r="F475" s="4">
        <f>Raw_Data!C475</f>
        <v>573.13058209999997</v>
      </c>
    </row>
    <row r="476" spans="1:6" thickTop="1" thickBot="1" x14ac:dyDescent="0.35">
      <c r="A476" s="5">
        <f>Raw_Data!D476</f>
        <v>44566</v>
      </c>
      <c r="B476" s="4">
        <f>YEAR(A476)</f>
        <v>2022</v>
      </c>
      <c r="C476" s="4" t="str">
        <f>TEXT(A476,"mmmm")</f>
        <v>January</v>
      </c>
      <c r="D476" s="4">
        <f>Raw_Data!A476</f>
        <v>60</v>
      </c>
      <c r="E476" s="4" t="str">
        <f>Raw_Data!B476</f>
        <v>g</v>
      </c>
      <c r="F476" s="4">
        <f>Raw_Data!C476</f>
        <v>511.79692349999999</v>
      </c>
    </row>
    <row r="477" spans="1:6" thickTop="1" thickBot="1" x14ac:dyDescent="0.35">
      <c r="A477" s="5">
        <f>Raw_Data!D477</f>
        <v>44638</v>
      </c>
      <c r="B477" s="4">
        <f>YEAR(A477)</f>
        <v>2022</v>
      </c>
      <c r="C477" s="4" t="str">
        <f>TEXT(A477,"mmmm")</f>
        <v>March</v>
      </c>
      <c r="D477" s="4">
        <f>Raw_Data!A477</f>
        <v>62</v>
      </c>
      <c r="E477" s="4" t="str">
        <f>Raw_Data!B477</f>
        <v>c</v>
      </c>
      <c r="F477" s="4">
        <f>Raw_Data!C477</f>
        <v>560.5659177</v>
      </c>
    </row>
    <row r="478" spans="1:6" thickTop="1" thickBot="1" x14ac:dyDescent="0.35">
      <c r="A478" s="5">
        <f>Raw_Data!D478</f>
        <v>44826</v>
      </c>
      <c r="B478" s="4">
        <f>YEAR(A478)</f>
        <v>2022</v>
      </c>
      <c r="C478" s="4" t="str">
        <f>TEXT(A478,"mmmm")</f>
        <v>September</v>
      </c>
      <c r="D478" s="4">
        <f>Raw_Data!A478</f>
        <v>80</v>
      </c>
      <c r="E478" s="4" t="str">
        <f>Raw_Data!B478</f>
        <v>b</v>
      </c>
      <c r="F478" s="4">
        <f>Raw_Data!C478</f>
        <v>525.52602509999997</v>
      </c>
    </row>
    <row r="479" spans="1:6" thickTop="1" thickBot="1" x14ac:dyDescent="0.35">
      <c r="A479" s="5">
        <f>Raw_Data!D479</f>
        <v>44735</v>
      </c>
      <c r="B479" s="4">
        <f>YEAR(A479)</f>
        <v>2022</v>
      </c>
      <c r="C479" s="4" t="str">
        <f>TEXT(A479,"mmmm")</f>
        <v>June</v>
      </c>
      <c r="D479" s="4">
        <f>Raw_Data!A479</f>
        <v>9</v>
      </c>
      <c r="E479" s="4" t="str">
        <f>Raw_Data!B479</f>
        <v>a</v>
      </c>
      <c r="F479" s="4">
        <f>Raw_Data!C479</f>
        <v>593.93431650000002</v>
      </c>
    </row>
    <row r="480" spans="1:6" thickTop="1" thickBot="1" x14ac:dyDescent="0.35">
      <c r="A480" s="5">
        <f>Raw_Data!D480</f>
        <v>44654</v>
      </c>
      <c r="B480" s="4">
        <f>YEAR(A480)</f>
        <v>2022</v>
      </c>
      <c r="C480" s="4" t="str">
        <f>TEXT(A480,"mmmm")</f>
        <v>April</v>
      </c>
      <c r="D480" s="4">
        <f>Raw_Data!A480</f>
        <v>11</v>
      </c>
      <c r="E480" s="4" t="str">
        <f>Raw_Data!B480</f>
        <v>f</v>
      </c>
      <c r="F480" s="4">
        <f>Raw_Data!C480</f>
        <v>618.99941449999994</v>
      </c>
    </row>
    <row r="481" spans="1:6" thickTop="1" thickBot="1" x14ac:dyDescent="0.35">
      <c r="A481" s="5">
        <f>Raw_Data!D481</f>
        <v>44785</v>
      </c>
      <c r="B481" s="4">
        <f>YEAR(A481)</f>
        <v>2022</v>
      </c>
      <c r="C481" s="4" t="str">
        <f>TEXT(A481,"mmmm")</f>
        <v>August</v>
      </c>
      <c r="D481" s="4">
        <f>Raw_Data!A481</f>
        <v>43</v>
      </c>
      <c r="E481" s="4" t="str">
        <f>Raw_Data!B481</f>
        <v>f</v>
      </c>
      <c r="F481" s="4">
        <f>Raw_Data!C481</f>
        <v>595.20827799999995</v>
      </c>
    </row>
    <row r="482" spans="1:6" thickTop="1" thickBot="1" x14ac:dyDescent="0.35">
      <c r="A482" s="5">
        <f>Raw_Data!D482</f>
        <v>44808</v>
      </c>
      <c r="B482" s="4">
        <f>YEAR(A482)</f>
        <v>2022</v>
      </c>
      <c r="C482" s="4" t="str">
        <f>TEXT(A482,"mmmm")</f>
        <v>September</v>
      </c>
      <c r="D482" s="4">
        <f>Raw_Data!A482</f>
        <v>30</v>
      </c>
      <c r="E482" s="4" t="str">
        <f>Raw_Data!B482</f>
        <v>d</v>
      </c>
      <c r="F482" s="4">
        <f>Raw_Data!C482</f>
        <v>457.16986379999997</v>
      </c>
    </row>
    <row r="483" spans="1:6" thickTop="1" thickBot="1" x14ac:dyDescent="0.35">
      <c r="A483" s="5">
        <f>Raw_Data!D483</f>
        <v>44637</v>
      </c>
      <c r="B483" s="4">
        <f>YEAR(A483)</f>
        <v>2022</v>
      </c>
      <c r="C483" s="4" t="str">
        <f>TEXT(A483,"mmmm")</f>
        <v>March</v>
      </c>
      <c r="D483" s="4">
        <f>Raw_Data!A483</f>
        <v>61</v>
      </c>
      <c r="E483" s="4" t="str">
        <f>Raw_Data!B483</f>
        <v>e</v>
      </c>
      <c r="F483" s="4">
        <f>Raw_Data!C483</f>
        <v>412.69799219999999</v>
      </c>
    </row>
    <row r="484" spans="1:6" thickTop="1" thickBot="1" x14ac:dyDescent="0.35">
      <c r="A484" s="5">
        <f>Raw_Data!D484</f>
        <v>44685</v>
      </c>
      <c r="B484" s="4">
        <f>YEAR(A484)</f>
        <v>2022</v>
      </c>
      <c r="C484" s="4" t="str">
        <f>TEXT(A484,"mmmm")</f>
        <v>May</v>
      </c>
      <c r="D484" s="4">
        <f>Raw_Data!A484</f>
        <v>74</v>
      </c>
      <c r="E484" s="4" t="str">
        <f>Raw_Data!B484</f>
        <v>e</v>
      </c>
      <c r="F484" s="4">
        <f>Raw_Data!C484</f>
        <v>553.98339239999996</v>
      </c>
    </row>
    <row r="485" spans="1:6" thickTop="1" thickBot="1" x14ac:dyDescent="0.35">
      <c r="A485" s="5">
        <f>Raw_Data!D485</f>
        <v>44655</v>
      </c>
      <c r="B485" s="4">
        <f>YEAR(A485)</f>
        <v>2022</v>
      </c>
      <c r="C485" s="4" t="str">
        <f>TEXT(A485,"mmmm")</f>
        <v>April</v>
      </c>
      <c r="D485" s="4">
        <f>Raw_Data!A485</f>
        <v>55</v>
      </c>
      <c r="E485" s="4" t="str">
        <f>Raw_Data!B485</f>
        <v>j</v>
      </c>
      <c r="F485" s="4">
        <f>Raw_Data!C485</f>
        <v>592.50326210000003</v>
      </c>
    </row>
    <row r="486" spans="1:6" thickTop="1" thickBot="1" x14ac:dyDescent="0.35">
      <c r="A486" s="5">
        <f>Raw_Data!D486</f>
        <v>44891</v>
      </c>
      <c r="B486" s="4">
        <f>YEAR(A486)</f>
        <v>2022</v>
      </c>
      <c r="C486" s="4" t="str">
        <f>TEXT(A486,"mmmm")</f>
        <v>November</v>
      </c>
      <c r="D486" s="4">
        <f>Raw_Data!A486</f>
        <v>61</v>
      </c>
      <c r="E486" s="4" t="str">
        <f>Raw_Data!B486</f>
        <v>h</v>
      </c>
      <c r="F486" s="4">
        <f>Raw_Data!C486</f>
        <v>403.17413690000001</v>
      </c>
    </row>
    <row r="487" spans="1:6" thickTop="1" thickBot="1" x14ac:dyDescent="0.35">
      <c r="A487" s="5">
        <f>Raw_Data!D487</f>
        <v>44666</v>
      </c>
      <c r="B487" s="4">
        <f>YEAR(A487)</f>
        <v>2022</v>
      </c>
      <c r="C487" s="4" t="str">
        <f>TEXT(A487,"mmmm")</f>
        <v>April</v>
      </c>
      <c r="D487" s="4">
        <f>Raw_Data!A487</f>
        <v>34</v>
      </c>
      <c r="E487" s="4" t="str">
        <f>Raw_Data!B487</f>
        <v>f</v>
      </c>
      <c r="F487" s="4">
        <f>Raw_Data!C487</f>
        <v>582.69954340000004</v>
      </c>
    </row>
    <row r="488" spans="1:6" thickTop="1" thickBot="1" x14ac:dyDescent="0.35">
      <c r="A488" s="5">
        <f>Raw_Data!D488</f>
        <v>44571</v>
      </c>
      <c r="B488" s="4">
        <f>YEAR(A488)</f>
        <v>2022</v>
      </c>
      <c r="C488" s="4" t="str">
        <f>TEXT(A488,"mmmm")</f>
        <v>January</v>
      </c>
      <c r="D488" s="4">
        <f>Raw_Data!A488</f>
        <v>57</v>
      </c>
      <c r="E488" s="4" t="str">
        <f>Raw_Data!B488</f>
        <v>j</v>
      </c>
      <c r="F488" s="4">
        <f>Raw_Data!C488</f>
        <v>430.5495545</v>
      </c>
    </row>
    <row r="489" spans="1:6" thickTop="1" thickBot="1" x14ac:dyDescent="0.35">
      <c r="A489" s="5">
        <f>Raw_Data!D489</f>
        <v>44891</v>
      </c>
      <c r="B489" s="4">
        <f>YEAR(A489)</f>
        <v>2022</v>
      </c>
      <c r="C489" s="4" t="str">
        <f>TEXT(A489,"mmmm")</f>
        <v>November</v>
      </c>
      <c r="D489" s="4">
        <f>Raw_Data!A489</f>
        <v>38</v>
      </c>
      <c r="E489" s="4" t="str">
        <f>Raw_Data!B489</f>
        <v>g</v>
      </c>
      <c r="F489" s="4">
        <f>Raw_Data!C489</f>
        <v>474.18700530000001</v>
      </c>
    </row>
    <row r="490" spans="1:6" thickTop="1" thickBot="1" x14ac:dyDescent="0.35">
      <c r="A490" s="5">
        <f>Raw_Data!D490</f>
        <v>44879</v>
      </c>
      <c r="B490" s="4">
        <f>YEAR(A490)</f>
        <v>2022</v>
      </c>
      <c r="C490" s="4" t="str">
        <f>TEXT(A490,"mmmm")</f>
        <v>November</v>
      </c>
      <c r="D490" s="4">
        <f>Raw_Data!A490</f>
        <v>84</v>
      </c>
      <c r="E490" s="4" t="str">
        <f>Raw_Data!B490</f>
        <v>c</v>
      </c>
      <c r="F490" s="4">
        <f>Raw_Data!C490</f>
        <v>449.04885919999998</v>
      </c>
    </row>
    <row r="491" spans="1:6" thickTop="1" thickBot="1" x14ac:dyDescent="0.35">
      <c r="A491" s="5">
        <f>Raw_Data!D491</f>
        <v>44778</v>
      </c>
      <c r="B491" s="4">
        <f>YEAR(A491)</f>
        <v>2022</v>
      </c>
      <c r="C491" s="4" t="str">
        <f>TEXT(A491,"mmmm")</f>
        <v>August</v>
      </c>
      <c r="D491" s="4">
        <f>Raw_Data!A491</f>
        <v>63</v>
      </c>
      <c r="E491" s="4" t="str">
        <f>Raw_Data!B491</f>
        <v>a</v>
      </c>
      <c r="F491" s="4">
        <f>Raw_Data!C491</f>
        <v>459.0882694</v>
      </c>
    </row>
    <row r="492" spans="1:6" thickTop="1" thickBot="1" x14ac:dyDescent="0.35">
      <c r="A492" s="5">
        <f>Raw_Data!D492</f>
        <v>44815</v>
      </c>
      <c r="B492" s="4">
        <f>YEAR(A492)</f>
        <v>2022</v>
      </c>
      <c r="C492" s="4" t="str">
        <f>TEXT(A492,"mmmm")</f>
        <v>September</v>
      </c>
      <c r="D492" s="4">
        <f>Raw_Data!A492</f>
        <v>46</v>
      </c>
      <c r="E492" s="4" t="str">
        <f>Raw_Data!B492</f>
        <v>b</v>
      </c>
      <c r="F492" s="4">
        <f>Raw_Data!C492</f>
        <v>234.46681580000001</v>
      </c>
    </row>
    <row r="493" spans="1:6" thickTop="1" thickBot="1" x14ac:dyDescent="0.35">
      <c r="A493" s="5">
        <f>Raw_Data!D493</f>
        <v>44763</v>
      </c>
      <c r="B493" s="4">
        <f>YEAR(A493)</f>
        <v>2022</v>
      </c>
      <c r="C493" s="4" t="str">
        <f>TEXT(A493,"mmmm")</f>
        <v>July</v>
      </c>
      <c r="D493" s="4">
        <f>Raw_Data!A493</f>
        <v>78</v>
      </c>
      <c r="E493" s="4" t="str">
        <f>Raw_Data!B493</f>
        <v>j</v>
      </c>
      <c r="F493" s="4">
        <f>Raw_Data!C493</f>
        <v>525.18631289999996</v>
      </c>
    </row>
    <row r="494" spans="1:6" thickTop="1" thickBot="1" x14ac:dyDescent="0.35">
      <c r="A494" s="5">
        <f>Raw_Data!D494</f>
        <v>44907</v>
      </c>
      <c r="B494" s="4">
        <f>YEAR(A494)</f>
        <v>2022</v>
      </c>
      <c r="C494" s="4" t="str">
        <f>TEXT(A494,"mmmm")</f>
        <v>December</v>
      </c>
      <c r="D494" s="4">
        <f>Raw_Data!A494</f>
        <v>70</v>
      </c>
      <c r="E494" s="4" t="str">
        <f>Raw_Data!B494</f>
        <v>e</v>
      </c>
      <c r="F494" s="4">
        <f>Raw_Data!C494</f>
        <v>406.84487560000002</v>
      </c>
    </row>
    <row r="495" spans="1:6" thickTop="1" thickBot="1" x14ac:dyDescent="0.35">
      <c r="A495" s="5">
        <f>Raw_Data!D495</f>
        <v>44912</v>
      </c>
      <c r="B495" s="4">
        <f>YEAR(A495)</f>
        <v>2022</v>
      </c>
      <c r="C495" s="4" t="str">
        <f>TEXT(A495,"mmmm")</f>
        <v>December</v>
      </c>
      <c r="D495" s="4">
        <f>Raw_Data!A495</f>
        <v>18</v>
      </c>
      <c r="E495" s="4" t="str">
        <f>Raw_Data!B495</f>
        <v>e</v>
      </c>
      <c r="F495" s="4">
        <f>Raw_Data!C495</f>
        <v>437.32135369999997</v>
      </c>
    </row>
    <row r="496" spans="1:6" thickTop="1" thickBot="1" x14ac:dyDescent="0.35">
      <c r="A496" s="5">
        <f>Raw_Data!D496</f>
        <v>44878</v>
      </c>
      <c r="B496" s="4">
        <f>YEAR(A496)</f>
        <v>2022</v>
      </c>
      <c r="C496" s="4" t="str">
        <f>TEXT(A496,"mmmm")</f>
        <v>November</v>
      </c>
      <c r="D496" s="4">
        <f>Raw_Data!A496</f>
        <v>2</v>
      </c>
      <c r="E496" s="4" t="str">
        <f>Raw_Data!B496</f>
        <v>g</v>
      </c>
      <c r="F496" s="4">
        <f>Raw_Data!C496</f>
        <v>389.80636179999999</v>
      </c>
    </row>
    <row r="497" spans="1:6" thickTop="1" thickBot="1" x14ac:dyDescent="0.35">
      <c r="A497" s="5">
        <f>Raw_Data!D497</f>
        <v>44610</v>
      </c>
      <c r="B497" s="4">
        <f>YEAR(A497)</f>
        <v>2022</v>
      </c>
      <c r="C497" s="4" t="str">
        <f>TEXT(A497,"mmmm")</f>
        <v>February</v>
      </c>
      <c r="D497" s="4">
        <f>Raw_Data!A497</f>
        <v>72</v>
      </c>
      <c r="E497" s="4" t="str">
        <f>Raw_Data!B497</f>
        <v>a</v>
      </c>
      <c r="F497" s="4">
        <f>Raw_Data!C497</f>
        <v>487.52255609999997</v>
      </c>
    </row>
    <row r="498" spans="1:6" thickTop="1" thickBot="1" x14ac:dyDescent="0.35">
      <c r="A498" s="5">
        <f>Raw_Data!D498</f>
        <v>44922</v>
      </c>
      <c r="B498" s="4">
        <f>YEAR(A498)</f>
        <v>2022</v>
      </c>
      <c r="C498" s="4" t="str">
        <f>TEXT(A498,"mmmm")</f>
        <v>December</v>
      </c>
      <c r="D498" s="4">
        <f>Raw_Data!A498</f>
        <v>75</v>
      </c>
      <c r="E498" s="4" t="str">
        <f>Raw_Data!B498</f>
        <v>a</v>
      </c>
      <c r="F498" s="4">
        <f>Raw_Data!C498</f>
        <v>471.05835180000003</v>
      </c>
    </row>
    <row r="499" spans="1:6" thickTop="1" thickBot="1" x14ac:dyDescent="0.35">
      <c r="A499" s="5">
        <f>Raw_Data!D499</f>
        <v>44593</v>
      </c>
      <c r="B499" s="4">
        <f>YEAR(A499)</f>
        <v>2022</v>
      </c>
      <c r="C499" s="4" t="str">
        <f>TEXT(A499,"mmmm")</f>
        <v>February</v>
      </c>
      <c r="D499" s="4">
        <f>Raw_Data!A499</f>
        <v>21</v>
      </c>
      <c r="E499" s="4" t="str">
        <f>Raw_Data!B499</f>
        <v>j</v>
      </c>
      <c r="F499" s="4">
        <f>Raw_Data!C499</f>
        <v>594.45854589999999</v>
      </c>
    </row>
    <row r="500" spans="1:6" thickTop="1" thickBot="1" x14ac:dyDescent="0.35">
      <c r="A500" s="5">
        <f>Raw_Data!D500</f>
        <v>44686</v>
      </c>
      <c r="B500" s="4">
        <f>YEAR(A500)</f>
        <v>2022</v>
      </c>
      <c r="C500" s="4" t="str">
        <f>TEXT(A500,"mmmm")</f>
        <v>May</v>
      </c>
      <c r="D500" s="4">
        <f>Raw_Data!A500</f>
        <v>57</v>
      </c>
      <c r="E500" s="4" t="str">
        <f>Raw_Data!B500</f>
        <v>b</v>
      </c>
      <c r="F500" s="4">
        <f>Raw_Data!C500</f>
        <v>571.01773790000004</v>
      </c>
    </row>
    <row r="501" spans="1:6" thickTop="1" thickBot="1" x14ac:dyDescent="0.35">
      <c r="A501" s="5">
        <f>Raw_Data!D501</f>
        <v>44599</v>
      </c>
      <c r="B501" s="4">
        <f>YEAR(A501)</f>
        <v>2022</v>
      </c>
      <c r="C501" s="4" t="str">
        <f>TEXT(A501,"mmmm")</f>
        <v>February</v>
      </c>
      <c r="D501" s="4">
        <f>Raw_Data!A501</f>
        <v>71</v>
      </c>
      <c r="E501" s="4" t="str">
        <f>Raw_Data!B501</f>
        <v>b</v>
      </c>
      <c r="F501" s="4">
        <f>Raw_Data!C501</f>
        <v>549.9788787</v>
      </c>
    </row>
    <row r="502" spans="1:6" thickTop="1" thickBot="1" x14ac:dyDescent="0.35">
      <c r="A502" s="5">
        <f>Raw_Data!D502</f>
        <v>44724</v>
      </c>
      <c r="B502" s="4">
        <f>YEAR(A502)</f>
        <v>2022</v>
      </c>
      <c r="C502" s="4" t="str">
        <f>TEXT(A502,"mmmm")</f>
        <v>June</v>
      </c>
      <c r="D502" s="4">
        <f>Raw_Data!A502</f>
        <v>87</v>
      </c>
      <c r="E502" s="4" t="str">
        <f>Raw_Data!B502</f>
        <v>e</v>
      </c>
      <c r="F502" s="4">
        <f>Raw_Data!C502</f>
        <v>293.424778</v>
      </c>
    </row>
    <row r="503" spans="1:6" thickTop="1" thickBot="1" x14ac:dyDescent="0.35">
      <c r="A503" s="5">
        <f>Raw_Data!D503</f>
        <v>44817</v>
      </c>
      <c r="B503" s="4">
        <f>YEAR(A503)</f>
        <v>2022</v>
      </c>
      <c r="C503" s="4" t="str">
        <f>TEXT(A503,"mmmm")</f>
        <v>September</v>
      </c>
      <c r="D503" s="4">
        <f>Raw_Data!A503</f>
        <v>72</v>
      </c>
      <c r="E503" s="4" t="str">
        <f>Raw_Data!B503</f>
        <v>a</v>
      </c>
      <c r="F503" s="4">
        <f>Raw_Data!C503</f>
        <v>531.33896189999996</v>
      </c>
    </row>
    <row r="504" spans="1:6" thickTop="1" thickBot="1" x14ac:dyDescent="0.35">
      <c r="A504" s="5">
        <f>Raw_Data!D504</f>
        <v>44728</v>
      </c>
      <c r="B504" s="4">
        <f>YEAR(A504)</f>
        <v>2022</v>
      </c>
      <c r="C504" s="4" t="str">
        <f>TEXT(A504,"mmmm")</f>
        <v>June</v>
      </c>
      <c r="D504" s="4">
        <f>Raw_Data!A504</f>
        <v>59</v>
      </c>
      <c r="E504" s="4" t="str">
        <f>Raw_Data!B504</f>
        <v>c</v>
      </c>
      <c r="F504" s="4">
        <f>Raw_Data!C504</f>
        <v>306.15937659999997</v>
      </c>
    </row>
    <row r="505" spans="1:6" thickTop="1" thickBot="1" x14ac:dyDescent="0.35">
      <c r="A505" s="5">
        <f>Raw_Data!D505</f>
        <v>44693</v>
      </c>
      <c r="B505" s="4">
        <f>YEAR(A505)</f>
        <v>2022</v>
      </c>
      <c r="C505" s="4" t="str">
        <f>TEXT(A505,"mmmm")</f>
        <v>May</v>
      </c>
      <c r="D505" s="4">
        <f>Raw_Data!A505</f>
        <v>74</v>
      </c>
      <c r="E505" s="4" t="str">
        <f>Raw_Data!B505</f>
        <v>j</v>
      </c>
      <c r="F505" s="4">
        <f>Raw_Data!C505</f>
        <v>737.70803430000001</v>
      </c>
    </row>
    <row r="506" spans="1:6" thickTop="1" thickBot="1" x14ac:dyDescent="0.35">
      <c r="A506" s="5">
        <f>Raw_Data!D506</f>
        <v>44789</v>
      </c>
      <c r="B506" s="4">
        <f>YEAR(A506)</f>
        <v>2022</v>
      </c>
      <c r="C506" s="4" t="str">
        <f>TEXT(A506,"mmmm")</f>
        <v>August</v>
      </c>
      <c r="D506" s="4">
        <f>Raw_Data!A506</f>
        <v>37</v>
      </c>
      <c r="E506" s="4" t="str">
        <f>Raw_Data!B506</f>
        <v>i</v>
      </c>
      <c r="F506" s="4">
        <f>Raw_Data!C506</f>
        <v>509.52575630000001</v>
      </c>
    </row>
    <row r="507" spans="1:6" thickTop="1" thickBot="1" x14ac:dyDescent="0.35">
      <c r="A507" s="5">
        <f>Raw_Data!D507</f>
        <v>44734</v>
      </c>
      <c r="B507" s="4">
        <f>YEAR(A507)</f>
        <v>2022</v>
      </c>
      <c r="C507" s="4" t="str">
        <f>TEXT(A507,"mmmm")</f>
        <v>June</v>
      </c>
      <c r="D507" s="4">
        <f>Raw_Data!A507</f>
        <v>81</v>
      </c>
      <c r="E507" s="4" t="str">
        <f>Raw_Data!B507</f>
        <v>c</v>
      </c>
      <c r="F507" s="4">
        <f>Raw_Data!C507</f>
        <v>377.17401410000002</v>
      </c>
    </row>
    <row r="508" spans="1:6" thickTop="1" thickBot="1" x14ac:dyDescent="0.35">
      <c r="A508" s="5">
        <f>Raw_Data!D508</f>
        <v>44688</v>
      </c>
      <c r="B508" s="4">
        <f>YEAR(A508)</f>
        <v>2022</v>
      </c>
      <c r="C508" s="4" t="str">
        <f>TEXT(A508,"mmmm")</f>
        <v>May</v>
      </c>
      <c r="D508" s="4">
        <f>Raw_Data!A508</f>
        <v>55</v>
      </c>
      <c r="E508" s="4" t="str">
        <f>Raw_Data!B508</f>
        <v>b</v>
      </c>
      <c r="F508" s="4">
        <f>Raw_Data!C508</f>
        <v>499.95472030000002</v>
      </c>
    </row>
    <row r="509" spans="1:6" thickTop="1" thickBot="1" x14ac:dyDescent="0.35">
      <c r="A509" s="5">
        <f>Raw_Data!D509</f>
        <v>44786</v>
      </c>
      <c r="B509" s="4">
        <f>YEAR(A509)</f>
        <v>2022</v>
      </c>
      <c r="C509" s="4" t="str">
        <f>TEXT(A509,"mmmm")</f>
        <v>August</v>
      </c>
      <c r="D509" s="4">
        <f>Raw_Data!A509</f>
        <v>6</v>
      </c>
      <c r="E509" s="4" t="str">
        <f>Raw_Data!B509</f>
        <v>a</v>
      </c>
      <c r="F509" s="4">
        <f>Raw_Data!C509</f>
        <v>518.16233309999996</v>
      </c>
    </row>
    <row r="510" spans="1:6" thickTop="1" thickBot="1" x14ac:dyDescent="0.35">
      <c r="A510" s="5">
        <f>Raw_Data!D510</f>
        <v>44729</v>
      </c>
      <c r="B510" s="4">
        <f>YEAR(A510)</f>
        <v>2022</v>
      </c>
      <c r="C510" s="4" t="str">
        <f>TEXT(A510,"mmmm")</f>
        <v>June</v>
      </c>
      <c r="D510" s="4">
        <f>Raw_Data!A510</f>
        <v>40</v>
      </c>
      <c r="E510" s="4" t="str">
        <f>Raw_Data!B510</f>
        <v>i</v>
      </c>
      <c r="F510" s="4">
        <f>Raw_Data!C510</f>
        <v>605.91296460000001</v>
      </c>
    </row>
    <row r="511" spans="1:6" thickTop="1" thickBot="1" x14ac:dyDescent="0.35">
      <c r="A511" s="5">
        <f>Raw_Data!D511</f>
        <v>44620</v>
      </c>
      <c r="B511" s="4">
        <f>YEAR(A511)</f>
        <v>2022</v>
      </c>
      <c r="C511" s="4" t="str">
        <f>TEXT(A511,"mmmm")</f>
        <v>February</v>
      </c>
      <c r="D511" s="4">
        <f>Raw_Data!A511</f>
        <v>6</v>
      </c>
      <c r="E511" s="4" t="str">
        <f>Raw_Data!B511</f>
        <v>c</v>
      </c>
      <c r="F511" s="4">
        <f>Raw_Data!C511</f>
        <v>616.57936889999996</v>
      </c>
    </row>
    <row r="512" spans="1:6" thickTop="1" thickBot="1" x14ac:dyDescent="0.35">
      <c r="A512" s="5">
        <f>Raw_Data!D512</f>
        <v>44735</v>
      </c>
      <c r="B512" s="4">
        <f>YEAR(A512)</f>
        <v>2022</v>
      </c>
      <c r="C512" s="4" t="str">
        <f>TEXT(A512,"mmmm")</f>
        <v>June</v>
      </c>
      <c r="D512" s="4">
        <f>Raw_Data!A512</f>
        <v>28</v>
      </c>
      <c r="E512" s="4" t="str">
        <f>Raw_Data!B512</f>
        <v>b</v>
      </c>
      <c r="F512" s="4">
        <f>Raw_Data!C512</f>
        <v>117.480723</v>
      </c>
    </row>
    <row r="513" spans="1:6" thickTop="1" thickBot="1" x14ac:dyDescent="0.35">
      <c r="A513" s="5">
        <f>Raw_Data!D513</f>
        <v>44598</v>
      </c>
      <c r="B513" s="4">
        <f>YEAR(A513)</f>
        <v>2022</v>
      </c>
      <c r="C513" s="4" t="str">
        <f>TEXT(A513,"mmmm")</f>
        <v>February</v>
      </c>
      <c r="D513" s="4">
        <f>Raw_Data!A513</f>
        <v>32</v>
      </c>
      <c r="E513" s="4" t="str">
        <f>Raw_Data!B513</f>
        <v>i</v>
      </c>
      <c r="F513" s="4">
        <f>Raw_Data!C513</f>
        <v>597.34126590000005</v>
      </c>
    </row>
    <row r="514" spans="1:6" thickTop="1" thickBot="1" x14ac:dyDescent="0.35">
      <c r="A514" s="5">
        <f>Raw_Data!D514</f>
        <v>44788</v>
      </c>
      <c r="B514" s="4">
        <f>YEAR(A514)</f>
        <v>2022</v>
      </c>
      <c r="C514" s="4" t="str">
        <f>TEXT(A514,"mmmm")</f>
        <v>August</v>
      </c>
      <c r="D514" s="4">
        <f>Raw_Data!A514</f>
        <v>49</v>
      </c>
      <c r="E514" s="4" t="str">
        <f>Raw_Data!B514</f>
        <v>j</v>
      </c>
      <c r="F514" s="4">
        <f>Raw_Data!C514</f>
        <v>312.52908500000001</v>
      </c>
    </row>
    <row r="515" spans="1:6" thickTop="1" thickBot="1" x14ac:dyDescent="0.35">
      <c r="A515" s="5">
        <f>Raw_Data!D515</f>
        <v>44888</v>
      </c>
      <c r="B515" s="4">
        <f>YEAR(A515)</f>
        <v>2022</v>
      </c>
      <c r="C515" s="4" t="str">
        <f>TEXT(A515,"mmmm")</f>
        <v>November</v>
      </c>
      <c r="D515" s="4">
        <f>Raw_Data!A515</f>
        <v>99</v>
      </c>
      <c r="E515" s="4" t="str">
        <f>Raw_Data!B515</f>
        <v>j</v>
      </c>
      <c r="F515" s="4">
        <f>Raw_Data!C515</f>
        <v>569.63007900000002</v>
      </c>
    </row>
    <row r="516" spans="1:6" thickTop="1" thickBot="1" x14ac:dyDescent="0.35">
      <c r="A516" s="5">
        <f>Raw_Data!D516</f>
        <v>44782</v>
      </c>
      <c r="B516" s="4">
        <f>YEAR(A516)</f>
        <v>2022</v>
      </c>
      <c r="C516" s="4" t="str">
        <f>TEXT(A516,"mmmm")</f>
        <v>August</v>
      </c>
      <c r="D516" s="4">
        <f>Raw_Data!A516</f>
        <v>92</v>
      </c>
      <c r="E516" s="4" t="str">
        <f>Raw_Data!B516</f>
        <v>f</v>
      </c>
      <c r="F516" s="4">
        <f>Raw_Data!C516</f>
        <v>344.82907940000001</v>
      </c>
    </row>
    <row r="517" spans="1:6" thickTop="1" thickBot="1" x14ac:dyDescent="0.35">
      <c r="A517" s="5">
        <f>Raw_Data!D517</f>
        <v>44783</v>
      </c>
      <c r="B517" s="4">
        <f>YEAR(A517)</f>
        <v>2022</v>
      </c>
      <c r="C517" s="4" t="str">
        <f>TEXT(A517,"mmmm")</f>
        <v>August</v>
      </c>
      <c r="D517" s="4">
        <f>Raw_Data!A517</f>
        <v>84</v>
      </c>
      <c r="E517" s="4" t="str">
        <f>Raw_Data!B517</f>
        <v>f</v>
      </c>
      <c r="F517" s="4">
        <f>Raw_Data!C517</f>
        <v>478.2797243</v>
      </c>
    </row>
    <row r="518" spans="1:6" thickTop="1" thickBot="1" x14ac:dyDescent="0.35">
      <c r="A518" s="5">
        <f>Raw_Data!D518</f>
        <v>44665</v>
      </c>
      <c r="B518" s="4">
        <f>YEAR(A518)</f>
        <v>2022</v>
      </c>
      <c r="C518" s="4" t="str">
        <f>TEXT(A518,"mmmm")</f>
        <v>April</v>
      </c>
      <c r="D518" s="4">
        <f>Raw_Data!A518</f>
        <v>65</v>
      </c>
      <c r="E518" s="4" t="str">
        <f>Raw_Data!B518</f>
        <v>h</v>
      </c>
      <c r="F518" s="4">
        <f>Raw_Data!C518</f>
        <v>520.03340470000001</v>
      </c>
    </row>
    <row r="519" spans="1:6" thickTop="1" thickBot="1" x14ac:dyDescent="0.35">
      <c r="A519" s="5">
        <f>Raw_Data!D519</f>
        <v>44894</v>
      </c>
      <c r="B519" s="4">
        <f>YEAR(A519)</f>
        <v>2022</v>
      </c>
      <c r="C519" s="4" t="str">
        <f>TEXT(A519,"mmmm")</f>
        <v>November</v>
      </c>
      <c r="D519" s="4">
        <f>Raw_Data!A519</f>
        <v>69</v>
      </c>
      <c r="E519" s="4" t="str">
        <f>Raw_Data!B519</f>
        <v>d</v>
      </c>
      <c r="F519" s="4">
        <f>Raw_Data!C519</f>
        <v>724.44600439999999</v>
      </c>
    </row>
    <row r="520" spans="1:6" thickTop="1" thickBot="1" x14ac:dyDescent="0.35">
      <c r="A520" s="5">
        <f>Raw_Data!D520</f>
        <v>44903</v>
      </c>
      <c r="B520" s="4">
        <f>YEAR(A520)</f>
        <v>2022</v>
      </c>
      <c r="C520" s="4" t="str">
        <f>TEXT(A520,"mmmm")</f>
        <v>December</v>
      </c>
      <c r="D520" s="4">
        <f>Raw_Data!A520</f>
        <v>75</v>
      </c>
      <c r="E520" s="4" t="str">
        <f>Raw_Data!B520</f>
        <v>b</v>
      </c>
      <c r="F520" s="4">
        <f>Raw_Data!C520</f>
        <v>440.18651640000002</v>
      </c>
    </row>
    <row r="521" spans="1:6" thickTop="1" thickBot="1" x14ac:dyDescent="0.35">
      <c r="A521" s="5">
        <f>Raw_Data!D521</f>
        <v>44638</v>
      </c>
      <c r="B521" s="4">
        <f>YEAR(A521)</f>
        <v>2022</v>
      </c>
      <c r="C521" s="4" t="str">
        <f>TEXT(A521,"mmmm")</f>
        <v>March</v>
      </c>
      <c r="D521" s="4">
        <f>Raw_Data!A521</f>
        <v>47</v>
      </c>
      <c r="E521" s="4" t="str">
        <f>Raw_Data!B521</f>
        <v>a</v>
      </c>
      <c r="F521" s="4">
        <f>Raw_Data!C521</f>
        <v>737.63988519999998</v>
      </c>
    </row>
    <row r="522" spans="1:6" thickTop="1" thickBot="1" x14ac:dyDescent="0.35">
      <c r="A522" s="5">
        <f>Raw_Data!D522</f>
        <v>44619</v>
      </c>
      <c r="B522" s="4">
        <f>YEAR(A522)</f>
        <v>2022</v>
      </c>
      <c r="C522" s="4" t="str">
        <f>TEXT(A522,"mmmm")</f>
        <v>February</v>
      </c>
      <c r="D522" s="4">
        <f>Raw_Data!A522</f>
        <v>20</v>
      </c>
      <c r="E522" s="4" t="str">
        <f>Raw_Data!B522</f>
        <v>b</v>
      </c>
      <c r="F522" s="4">
        <f>Raw_Data!C522</f>
        <v>357.7144763</v>
      </c>
    </row>
    <row r="523" spans="1:6" thickTop="1" thickBot="1" x14ac:dyDescent="0.35">
      <c r="A523" s="5">
        <f>Raw_Data!D523</f>
        <v>44810</v>
      </c>
      <c r="B523" s="4">
        <f>YEAR(A523)</f>
        <v>2022</v>
      </c>
      <c r="C523" s="4" t="str">
        <f>TEXT(A523,"mmmm")</f>
        <v>September</v>
      </c>
      <c r="D523" s="4">
        <f>Raw_Data!A523</f>
        <v>2</v>
      </c>
      <c r="E523" s="4" t="str">
        <f>Raw_Data!B523</f>
        <v>g</v>
      </c>
      <c r="F523" s="4">
        <f>Raw_Data!C523</f>
        <v>458.23370360000001</v>
      </c>
    </row>
    <row r="524" spans="1:6" thickTop="1" thickBot="1" x14ac:dyDescent="0.35">
      <c r="A524" s="5">
        <f>Raw_Data!D524</f>
        <v>44769</v>
      </c>
      <c r="B524" s="4">
        <f>YEAR(A524)</f>
        <v>2022</v>
      </c>
      <c r="C524" s="4" t="str">
        <f>TEXT(A524,"mmmm")</f>
        <v>July</v>
      </c>
      <c r="D524" s="4">
        <f>Raw_Data!A524</f>
        <v>62</v>
      </c>
      <c r="E524" s="4" t="str">
        <f>Raw_Data!B524</f>
        <v>g</v>
      </c>
      <c r="F524" s="4">
        <f>Raw_Data!C524</f>
        <v>432.80998670000002</v>
      </c>
    </row>
    <row r="525" spans="1:6" thickTop="1" thickBot="1" x14ac:dyDescent="0.35">
      <c r="A525" s="5">
        <f>Raw_Data!D525</f>
        <v>44670</v>
      </c>
      <c r="B525" s="4">
        <f>YEAR(A525)</f>
        <v>2022</v>
      </c>
      <c r="C525" s="4" t="str">
        <f>TEXT(A525,"mmmm")</f>
        <v>April</v>
      </c>
      <c r="D525" s="4">
        <f>Raw_Data!A525</f>
        <v>63</v>
      </c>
      <c r="E525" s="4" t="str">
        <f>Raw_Data!B525</f>
        <v>d</v>
      </c>
      <c r="F525" s="4">
        <f>Raw_Data!C525</f>
        <v>406.06920600000001</v>
      </c>
    </row>
    <row r="526" spans="1:6" thickTop="1" thickBot="1" x14ac:dyDescent="0.35">
      <c r="A526" s="5">
        <f>Raw_Data!D526</f>
        <v>44600</v>
      </c>
      <c r="B526" s="4">
        <f>YEAR(A526)</f>
        <v>2022</v>
      </c>
      <c r="C526" s="4" t="str">
        <f>TEXT(A526,"mmmm")</f>
        <v>February</v>
      </c>
      <c r="D526" s="4">
        <f>Raw_Data!A526</f>
        <v>62</v>
      </c>
      <c r="E526" s="4" t="str">
        <f>Raw_Data!B526</f>
        <v>e</v>
      </c>
      <c r="F526" s="4">
        <f>Raw_Data!C526</f>
        <v>550.0342531</v>
      </c>
    </row>
    <row r="527" spans="1:6" thickTop="1" thickBot="1" x14ac:dyDescent="0.35">
      <c r="A527" s="5">
        <f>Raw_Data!D527</f>
        <v>44654</v>
      </c>
      <c r="B527" s="4">
        <f>YEAR(A527)</f>
        <v>2022</v>
      </c>
      <c r="C527" s="4" t="str">
        <f>TEXT(A527,"mmmm")</f>
        <v>April</v>
      </c>
      <c r="D527" s="4">
        <f>Raw_Data!A527</f>
        <v>10</v>
      </c>
      <c r="E527" s="4" t="str">
        <f>Raw_Data!B527</f>
        <v>j</v>
      </c>
      <c r="F527" s="4">
        <f>Raw_Data!C527</f>
        <v>549.57794309999997</v>
      </c>
    </row>
    <row r="528" spans="1:6" thickTop="1" thickBot="1" x14ac:dyDescent="0.35">
      <c r="A528" s="5">
        <f>Raw_Data!D528</f>
        <v>44882</v>
      </c>
      <c r="B528" s="4">
        <f>YEAR(A528)</f>
        <v>2022</v>
      </c>
      <c r="C528" s="4" t="str">
        <f>TEXT(A528,"mmmm")</f>
        <v>November</v>
      </c>
      <c r="D528" s="4">
        <f>Raw_Data!A528</f>
        <v>59</v>
      </c>
      <c r="E528" s="4" t="str">
        <f>Raw_Data!B528</f>
        <v>a</v>
      </c>
      <c r="F528" s="4">
        <f>Raw_Data!C528</f>
        <v>270.77342529999999</v>
      </c>
    </row>
    <row r="529" spans="1:6" thickTop="1" thickBot="1" x14ac:dyDescent="0.35">
      <c r="A529" s="5">
        <f>Raw_Data!D529</f>
        <v>44920</v>
      </c>
      <c r="B529" s="4">
        <f>YEAR(A529)</f>
        <v>2022</v>
      </c>
      <c r="C529" s="4" t="str">
        <f>TEXT(A529,"mmmm")</f>
        <v>December</v>
      </c>
      <c r="D529" s="4">
        <f>Raw_Data!A529</f>
        <v>49</v>
      </c>
      <c r="E529" s="4" t="str">
        <f>Raw_Data!B529</f>
        <v>j</v>
      </c>
      <c r="F529" s="4">
        <f>Raw_Data!C529</f>
        <v>403.74942349999998</v>
      </c>
    </row>
    <row r="530" spans="1:6" thickTop="1" thickBot="1" x14ac:dyDescent="0.35">
      <c r="A530" s="5">
        <f>Raw_Data!D530</f>
        <v>44831</v>
      </c>
      <c r="B530" s="4">
        <f>YEAR(A530)</f>
        <v>2022</v>
      </c>
      <c r="C530" s="4" t="str">
        <f>TEXT(A530,"mmmm")</f>
        <v>September</v>
      </c>
      <c r="D530" s="4">
        <f>Raw_Data!A530</f>
        <v>7</v>
      </c>
      <c r="E530" s="4" t="str">
        <f>Raw_Data!B530</f>
        <v>i</v>
      </c>
      <c r="F530" s="4">
        <f>Raw_Data!C530</f>
        <v>331.41603900000001</v>
      </c>
    </row>
    <row r="531" spans="1:6" thickTop="1" thickBot="1" x14ac:dyDescent="0.35">
      <c r="A531" s="5">
        <f>Raw_Data!D531</f>
        <v>44744</v>
      </c>
      <c r="B531" s="4">
        <f>YEAR(A531)</f>
        <v>2022</v>
      </c>
      <c r="C531" s="4" t="str">
        <f>TEXT(A531,"mmmm")</f>
        <v>July</v>
      </c>
      <c r="D531" s="4">
        <f>Raw_Data!A531</f>
        <v>61</v>
      </c>
      <c r="E531" s="4" t="str">
        <f>Raw_Data!B531</f>
        <v>g</v>
      </c>
      <c r="F531" s="4">
        <f>Raw_Data!C531</f>
        <v>622.09258580000005</v>
      </c>
    </row>
    <row r="532" spans="1:6" thickTop="1" thickBot="1" x14ac:dyDescent="0.35">
      <c r="A532" s="5">
        <f>Raw_Data!D532</f>
        <v>44877</v>
      </c>
      <c r="B532" s="4">
        <f>YEAR(A532)</f>
        <v>2022</v>
      </c>
      <c r="C532" s="4" t="str">
        <f>TEXT(A532,"mmmm")</f>
        <v>November</v>
      </c>
      <c r="D532" s="4">
        <f>Raw_Data!A532</f>
        <v>38</v>
      </c>
      <c r="E532" s="4" t="str">
        <f>Raw_Data!B532</f>
        <v>e</v>
      </c>
      <c r="F532" s="4">
        <f>Raw_Data!C532</f>
        <v>585.89559640000004</v>
      </c>
    </row>
    <row r="533" spans="1:6" thickTop="1" thickBot="1" x14ac:dyDescent="0.35">
      <c r="A533" s="5">
        <f>Raw_Data!D533</f>
        <v>44786</v>
      </c>
      <c r="B533" s="4">
        <f>YEAR(A533)</f>
        <v>2022</v>
      </c>
      <c r="C533" s="4" t="str">
        <f>TEXT(A533,"mmmm")</f>
        <v>August</v>
      </c>
      <c r="D533" s="4">
        <f>Raw_Data!A533</f>
        <v>36</v>
      </c>
      <c r="E533" s="4" t="str">
        <f>Raw_Data!B533</f>
        <v>g</v>
      </c>
      <c r="F533" s="4">
        <f>Raw_Data!C533</f>
        <v>549.51250689999995</v>
      </c>
    </row>
    <row r="534" spans="1:6" thickTop="1" thickBot="1" x14ac:dyDescent="0.35">
      <c r="A534" s="5">
        <f>Raw_Data!D534</f>
        <v>44787</v>
      </c>
      <c r="B534" s="4">
        <f>YEAR(A534)</f>
        <v>2022</v>
      </c>
      <c r="C534" s="4" t="str">
        <f>TEXT(A534,"mmmm")</f>
        <v>August</v>
      </c>
      <c r="D534" s="4">
        <f>Raw_Data!A534</f>
        <v>23</v>
      </c>
      <c r="E534" s="4" t="str">
        <f>Raw_Data!B534</f>
        <v>e</v>
      </c>
      <c r="F534" s="4">
        <f>Raw_Data!C534</f>
        <v>689.63157030000002</v>
      </c>
    </row>
    <row r="535" spans="1:6" thickTop="1" thickBot="1" x14ac:dyDescent="0.35">
      <c r="A535" s="5">
        <f>Raw_Data!D535</f>
        <v>44894</v>
      </c>
      <c r="B535" s="4">
        <f>YEAR(A535)</f>
        <v>2022</v>
      </c>
      <c r="C535" s="4" t="str">
        <f>TEXT(A535,"mmmm")</f>
        <v>November</v>
      </c>
      <c r="D535" s="4">
        <f>Raw_Data!A535</f>
        <v>34</v>
      </c>
      <c r="E535" s="4" t="str">
        <f>Raw_Data!B535</f>
        <v>b</v>
      </c>
      <c r="F535" s="4">
        <f>Raw_Data!C535</f>
        <v>504.5842839</v>
      </c>
    </row>
    <row r="536" spans="1:6" thickTop="1" thickBot="1" x14ac:dyDescent="0.35">
      <c r="A536" s="5">
        <f>Raw_Data!D536</f>
        <v>44673</v>
      </c>
      <c r="B536" s="4">
        <f>YEAR(A536)</f>
        <v>2022</v>
      </c>
      <c r="C536" s="4" t="str">
        <f>TEXT(A536,"mmmm")</f>
        <v>April</v>
      </c>
      <c r="D536" s="4">
        <f>Raw_Data!A536</f>
        <v>88</v>
      </c>
      <c r="E536" s="4" t="str">
        <f>Raw_Data!B536</f>
        <v>h</v>
      </c>
      <c r="F536" s="4">
        <f>Raw_Data!C536</f>
        <v>532.32208360000004</v>
      </c>
    </row>
    <row r="537" spans="1:6" thickTop="1" thickBot="1" x14ac:dyDescent="0.35">
      <c r="A537" s="5">
        <f>Raw_Data!D537</f>
        <v>44606</v>
      </c>
      <c r="B537" s="4">
        <f>YEAR(A537)</f>
        <v>2022</v>
      </c>
      <c r="C537" s="4" t="str">
        <f>TEXT(A537,"mmmm")</f>
        <v>February</v>
      </c>
      <c r="D537" s="4">
        <f>Raw_Data!A537</f>
        <v>4</v>
      </c>
      <c r="E537" s="4" t="str">
        <f>Raw_Data!B537</f>
        <v>g</v>
      </c>
      <c r="F537" s="4">
        <f>Raw_Data!C537</f>
        <v>390.27467789999997</v>
      </c>
    </row>
    <row r="538" spans="1:6" thickTop="1" thickBot="1" x14ac:dyDescent="0.35">
      <c r="A538" s="5">
        <f>Raw_Data!D538</f>
        <v>44713</v>
      </c>
      <c r="B538" s="4">
        <f>YEAR(A538)</f>
        <v>2022</v>
      </c>
      <c r="C538" s="4" t="str">
        <f>TEXT(A538,"mmmm")</f>
        <v>June</v>
      </c>
      <c r="D538" s="4">
        <f>Raw_Data!A538</f>
        <v>54</v>
      </c>
      <c r="E538" s="4" t="str">
        <f>Raw_Data!B538</f>
        <v>j</v>
      </c>
      <c r="F538" s="4">
        <f>Raw_Data!C538</f>
        <v>711.92200549999995</v>
      </c>
    </row>
    <row r="539" spans="1:6" thickTop="1" thickBot="1" x14ac:dyDescent="0.35">
      <c r="A539" s="5">
        <f>Raw_Data!D539</f>
        <v>44578</v>
      </c>
      <c r="B539" s="4">
        <f>YEAR(A539)</f>
        <v>2022</v>
      </c>
      <c r="C539" s="4" t="str">
        <f>TEXT(A539,"mmmm")</f>
        <v>January</v>
      </c>
      <c r="D539" s="4">
        <f>Raw_Data!A539</f>
        <v>29</v>
      </c>
      <c r="E539" s="4" t="str">
        <f>Raw_Data!B539</f>
        <v>h</v>
      </c>
      <c r="F539" s="4">
        <f>Raw_Data!C539</f>
        <v>479.137472</v>
      </c>
    </row>
    <row r="540" spans="1:6" thickTop="1" thickBot="1" x14ac:dyDescent="0.35">
      <c r="A540" s="5">
        <f>Raw_Data!D540</f>
        <v>44714</v>
      </c>
      <c r="B540" s="4">
        <f>YEAR(A540)</f>
        <v>2022</v>
      </c>
      <c r="C540" s="4" t="str">
        <f>TEXT(A540,"mmmm")</f>
        <v>June</v>
      </c>
      <c r="D540" s="4">
        <f>Raw_Data!A540</f>
        <v>58</v>
      </c>
      <c r="E540" s="4" t="str">
        <f>Raw_Data!B540</f>
        <v>i</v>
      </c>
      <c r="F540" s="4">
        <f>Raw_Data!C540</f>
        <v>441.2730621</v>
      </c>
    </row>
    <row r="541" spans="1:6" thickTop="1" thickBot="1" x14ac:dyDescent="0.35">
      <c r="A541" s="5">
        <f>Raw_Data!D541</f>
        <v>44837</v>
      </c>
      <c r="B541" s="4">
        <f>YEAR(A541)</f>
        <v>2022</v>
      </c>
      <c r="C541" s="4" t="str">
        <f>TEXT(A541,"mmmm")</f>
        <v>October</v>
      </c>
      <c r="D541" s="4">
        <f>Raw_Data!A541</f>
        <v>87</v>
      </c>
      <c r="E541" s="4" t="str">
        <f>Raw_Data!B541</f>
        <v>c</v>
      </c>
      <c r="F541" s="4">
        <f>Raw_Data!C541</f>
        <v>451.57929380000002</v>
      </c>
    </row>
    <row r="542" spans="1:6" thickTop="1" thickBot="1" x14ac:dyDescent="0.35">
      <c r="A542" s="5">
        <f>Raw_Data!D542</f>
        <v>44613</v>
      </c>
      <c r="B542" s="4">
        <f>YEAR(A542)</f>
        <v>2022</v>
      </c>
      <c r="C542" s="4" t="str">
        <f>TEXT(A542,"mmmm")</f>
        <v>February</v>
      </c>
      <c r="D542" s="4">
        <f>Raw_Data!A542</f>
        <v>75</v>
      </c>
      <c r="E542" s="4" t="str">
        <f>Raw_Data!B542</f>
        <v>f</v>
      </c>
      <c r="F542" s="4">
        <f>Raw_Data!C542</f>
        <v>722.91495010000006</v>
      </c>
    </row>
    <row r="543" spans="1:6" thickTop="1" thickBot="1" x14ac:dyDescent="0.35">
      <c r="A543" s="5">
        <f>Raw_Data!D543</f>
        <v>44681</v>
      </c>
      <c r="B543" s="4">
        <f>YEAR(A543)</f>
        <v>2022</v>
      </c>
      <c r="C543" s="4" t="str">
        <f>TEXT(A543,"mmmm")</f>
        <v>April</v>
      </c>
      <c r="D543" s="4">
        <f>Raw_Data!A543</f>
        <v>97</v>
      </c>
      <c r="E543" s="4" t="str">
        <f>Raw_Data!B543</f>
        <v>g</v>
      </c>
      <c r="F543" s="4">
        <f>Raw_Data!C543</f>
        <v>394.51078460000002</v>
      </c>
    </row>
    <row r="544" spans="1:6" thickTop="1" thickBot="1" x14ac:dyDescent="0.35">
      <c r="A544" s="5">
        <f>Raw_Data!D544</f>
        <v>44852</v>
      </c>
      <c r="B544" s="4">
        <f>YEAR(A544)</f>
        <v>2022</v>
      </c>
      <c r="C544" s="4" t="str">
        <f>TEXT(A544,"mmmm")</f>
        <v>October</v>
      </c>
      <c r="D544" s="4">
        <f>Raw_Data!A544</f>
        <v>56</v>
      </c>
      <c r="E544" s="4" t="str">
        <f>Raw_Data!B544</f>
        <v>c</v>
      </c>
      <c r="F544" s="4">
        <f>Raw_Data!C544</f>
        <v>546.54078809999999</v>
      </c>
    </row>
    <row r="545" spans="1:6" thickTop="1" thickBot="1" x14ac:dyDescent="0.35">
      <c r="A545" s="5">
        <f>Raw_Data!D545</f>
        <v>44895</v>
      </c>
      <c r="B545" s="4">
        <f>YEAR(A545)</f>
        <v>2022</v>
      </c>
      <c r="C545" s="4" t="str">
        <f>TEXT(A545,"mmmm")</f>
        <v>November</v>
      </c>
      <c r="D545" s="4">
        <f>Raw_Data!A545</f>
        <v>51</v>
      </c>
      <c r="E545" s="4" t="str">
        <f>Raw_Data!B545</f>
        <v>h</v>
      </c>
      <c r="F545" s="4">
        <f>Raw_Data!C545</f>
        <v>480.6581564</v>
      </c>
    </row>
    <row r="546" spans="1:6" thickTop="1" thickBot="1" x14ac:dyDescent="0.35">
      <c r="A546" s="5">
        <f>Raw_Data!D546</f>
        <v>44700</v>
      </c>
      <c r="B546" s="4">
        <f>YEAR(A546)</f>
        <v>2022</v>
      </c>
      <c r="C546" s="4" t="str">
        <f>TEXT(A546,"mmmm")</f>
        <v>May</v>
      </c>
      <c r="D546" s="4">
        <f>Raw_Data!A546</f>
        <v>50</v>
      </c>
      <c r="E546" s="4" t="str">
        <f>Raw_Data!B546</f>
        <v>a</v>
      </c>
      <c r="F546" s="4">
        <f>Raw_Data!C546</f>
        <v>596.53641749999997</v>
      </c>
    </row>
    <row r="547" spans="1:6" thickTop="1" thickBot="1" x14ac:dyDescent="0.35">
      <c r="A547" s="5">
        <f>Raw_Data!D547</f>
        <v>44693</v>
      </c>
      <c r="B547" s="4">
        <f>YEAR(A547)</f>
        <v>2022</v>
      </c>
      <c r="C547" s="4" t="str">
        <f>TEXT(A547,"mmmm")</f>
        <v>May</v>
      </c>
      <c r="D547" s="4">
        <f>Raw_Data!A547</f>
        <v>48</v>
      </c>
      <c r="E547" s="4" t="str">
        <f>Raw_Data!B547</f>
        <v>i</v>
      </c>
      <c r="F547" s="4">
        <f>Raw_Data!C547</f>
        <v>586.76121060000003</v>
      </c>
    </row>
    <row r="548" spans="1:6" thickTop="1" thickBot="1" x14ac:dyDescent="0.35">
      <c r="A548" s="5">
        <f>Raw_Data!D548</f>
        <v>44899</v>
      </c>
      <c r="B548" s="4">
        <f>YEAR(A548)</f>
        <v>2022</v>
      </c>
      <c r="C548" s="4" t="str">
        <f>TEXT(A548,"mmmm")</f>
        <v>December</v>
      </c>
      <c r="D548" s="4">
        <f>Raw_Data!A548</f>
        <v>3</v>
      </c>
      <c r="E548" s="4" t="str">
        <f>Raw_Data!B548</f>
        <v>f</v>
      </c>
      <c r="F548" s="4">
        <f>Raw_Data!C548</f>
        <v>392.45436009999997</v>
      </c>
    </row>
    <row r="549" spans="1:6" thickTop="1" thickBot="1" x14ac:dyDescent="0.35">
      <c r="A549" s="5">
        <f>Raw_Data!D549</f>
        <v>44805</v>
      </c>
      <c r="B549" s="4">
        <f>YEAR(A549)</f>
        <v>2022</v>
      </c>
      <c r="C549" s="4" t="str">
        <f>TEXT(A549,"mmmm")</f>
        <v>September</v>
      </c>
      <c r="D549" s="4">
        <f>Raw_Data!A549</f>
        <v>33</v>
      </c>
      <c r="E549" s="4" t="str">
        <f>Raw_Data!B549</f>
        <v>i</v>
      </c>
      <c r="F549" s="4">
        <f>Raw_Data!C549</f>
        <v>260.38876470000002</v>
      </c>
    </row>
    <row r="550" spans="1:6" thickTop="1" thickBot="1" x14ac:dyDescent="0.35">
      <c r="A550" s="5">
        <f>Raw_Data!D550</f>
        <v>44607</v>
      </c>
      <c r="B550" s="4">
        <f>YEAR(A550)</f>
        <v>2022</v>
      </c>
      <c r="C550" s="4" t="str">
        <f>TEXT(A550,"mmmm")</f>
        <v>February</v>
      </c>
      <c r="D550" s="4">
        <f>Raw_Data!A550</f>
        <v>94</v>
      </c>
      <c r="E550" s="4" t="str">
        <f>Raw_Data!B550</f>
        <v>c</v>
      </c>
      <c r="F550" s="4">
        <f>Raw_Data!C550</f>
        <v>684.5948942</v>
      </c>
    </row>
    <row r="551" spans="1:6" thickTop="1" thickBot="1" x14ac:dyDescent="0.35">
      <c r="A551" s="5">
        <f>Raw_Data!D551</f>
        <v>44670</v>
      </c>
      <c r="B551" s="4">
        <f>YEAR(A551)</f>
        <v>2022</v>
      </c>
      <c r="C551" s="4" t="str">
        <f>TEXT(A551,"mmmm")</f>
        <v>April</v>
      </c>
      <c r="D551" s="4">
        <f>Raw_Data!A551</f>
        <v>34</v>
      </c>
      <c r="E551" s="4" t="str">
        <f>Raw_Data!B551</f>
        <v>c</v>
      </c>
      <c r="F551" s="4">
        <f>Raw_Data!C551</f>
        <v>714.3414123</v>
      </c>
    </row>
    <row r="552" spans="1:6" thickTop="1" thickBot="1" x14ac:dyDescent="0.35">
      <c r="A552" s="5">
        <f>Raw_Data!D552</f>
        <v>44597</v>
      </c>
      <c r="B552" s="4">
        <f>YEAR(A552)</f>
        <v>2022</v>
      </c>
      <c r="C552" s="4" t="str">
        <f>TEXT(A552,"mmmm")</f>
        <v>February</v>
      </c>
      <c r="D552" s="4">
        <f>Raw_Data!A552</f>
        <v>66</v>
      </c>
      <c r="E552" s="4" t="str">
        <f>Raw_Data!B552</f>
        <v>f</v>
      </c>
      <c r="F552" s="4">
        <f>Raw_Data!C552</f>
        <v>435.0403445</v>
      </c>
    </row>
    <row r="553" spans="1:6" thickTop="1" thickBot="1" x14ac:dyDescent="0.35">
      <c r="A553" s="5">
        <f>Raw_Data!D553</f>
        <v>44792</v>
      </c>
      <c r="B553" s="4">
        <f>YEAR(A553)</f>
        <v>2022</v>
      </c>
      <c r="C553" s="4" t="str">
        <f>TEXT(A553,"mmmm")</f>
        <v>August</v>
      </c>
      <c r="D553" s="4">
        <f>Raw_Data!A553</f>
        <v>64</v>
      </c>
      <c r="E553" s="4" t="str">
        <f>Raw_Data!B553</f>
        <v>i</v>
      </c>
      <c r="F553" s="4">
        <f>Raw_Data!C553</f>
        <v>662.75373720000005</v>
      </c>
    </row>
    <row r="554" spans="1:6" thickTop="1" thickBot="1" x14ac:dyDescent="0.35">
      <c r="A554" s="5">
        <f>Raw_Data!D554</f>
        <v>44628</v>
      </c>
      <c r="B554" s="4">
        <f>YEAR(A554)</f>
        <v>2022</v>
      </c>
      <c r="C554" s="4" t="str">
        <f>TEXT(A554,"mmmm")</f>
        <v>March</v>
      </c>
      <c r="D554" s="4">
        <f>Raw_Data!A554</f>
        <v>40</v>
      </c>
      <c r="E554" s="4" t="str">
        <f>Raw_Data!B554</f>
        <v>i</v>
      </c>
      <c r="F554" s="4">
        <f>Raw_Data!C554</f>
        <v>562.61290770000005</v>
      </c>
    </row>
    <row r="555" spans="1:6" thickTop="1" thickBot="1" x14ac:dyDescent="0.35">
      <c r="A555" s="5">
        <f>Raw_Data!D555</f>
        <v>44921</v>
      </c>
      <c r="B555" s="4">
        <f>YEAR(A555)</f>
        <v>2022</v>
      </c>
      <c r="C555" s="4" t="str">
        <f>TEXT(A555,"mmmm")</f>
        <v>December</v>
      </c>
      <c r="D555" s="4">
        <f>Raw_Data!A555</f>
        <v>58</v>
      </c>
      <c r="E555" s="4" t="str">
        <f>Raw_Data!B555</f>
        <v>c</v>
      </c>
      <c r="F555" s="4">
        <f>Raw_Data!C555</f>
        <v>476.97766639999998</v>
      </c>
    </row>
    <row r="556" spans="1:6" thickTop="1" thickBot="1" x14ac:dyDescent="0.35">
      <c r="A556" s="5">
        <f>Raw_Data!D556</f>
        <v>44680</v>
      </c>
      <c r="B556" s="4">
        <f>YEAR(A556)</f>
        <v>2022</v>
      </c>
      <c r="C556" s="4" t="str">
        <f>TEXT(A556,"mmmm")</f>
        <v>April</v>
      </c>
      <c r="D556" s="4">
        <f>Raw_Data!A556</f>
        <v>20</v>
      </c>
      <c r="E556" s="4" t="str">
        <f>Raw_Data!B556</f>
        <v>e</v>
      </c>
      <c r="F556" s="4">
        <f>Raw_Data!C556</f>
        <v>572.76509599999997</v>
      </c>
    </row>
    <row r="557" spans="1:6" thickTop="1" thickBot="1" x14ac:dyDescent="0.35">
      <c r="A557" s="5">
        <f>Raw_Data!D557</f>
        <v>44648</v>
      </c>
      <c r="B557" s="4">
        <f>YEAR(A557)</f>
        <v>2022</v>
      </c>
      <c r="C557" s="4" t="str">
        <f>TEXT(A557,"mmmm")</f>
        <v>March</v>
      </c>
      <c r="D557" s="4">
        <f>Raw_Data!A557</f>
        <v>78</v>
      </c>
      <c r="E557" s="4" t="str">
        <f>Raw_Data!B557</f>
        <v>g</v>
      </c>
      <c r="F557" s="4">
        <f>Raw_Data!C557</f>
        <v>499.61432559999997</v>
      </c>
    </row>
    <row r="558" spans="1:6" thickTop="1" thickBot="1" x14ac:dyDescent="0.35">
      <c r="A558" s="5">
        <f>Raw_Data!D558</f>
        <v>44915</v>
      </c>
      <c r="B558" s="4">
        <f>YEAR(A558)</f>
        <v>2022</v>
      </c>
      <c r="C558" s="4" t="str">
        <f>TEXT(A558,"mmmm")</f>
        <v>December</v>
      </c>
      <c r="D558" s="4">
        <f>Raw_Data!A558</f>
        <v>25</v>
      </c>
      <c r="E558" s="4" t="str">
        <f>Raw_Data!B558</f>
        <v>b</v>
      </c>
      <c r="F558" s="4">
        <f>Raw_Data!C558</f>
        <v>568.22602400000005</v>
      </c>
    </row>
    <row r="559" spans="1:6" thickTop="1" thickBot="1" x14ac:dyDescent="0.35">
      <c r="A559" s="5">
        <f>Raw_Data!D559</f>
        <v>44632</v>
      </c>
      <c r="B559" s="4">
        <f>YEAR(A559)</f>
        <v>2022</v>
      </c>
      <c r="C559" s="4" t="str">
        <f>TEXT(A559,"mmmm")</f>
        <v>March</v>
      </c>
      <c r="D559" s="4">
        <f>Raw_Data!A559</f>
        <v>71</v>
      </c>
      <c r="E559" s="4" t="str">
        <f>Raw_Data!B559</f>
        <v>f</v>
      </c>
      <c r="F559" s="4">
        <f>Raw_Data!C559</f>
        <v>526.67503280000005</v>
      </c>
    </row>
    <row r="560" spans="1:6" thickTop="1" thickBot="1" x14ac:dyDescent="0.35">
      <c r="A560" s="5">
        <f>Raw_Data!D560</f>
        <v>44589</v>
      </c>
      <c r="B560" s="4">
        <f>YEAR(A560)</f>
        <v>2022</v>
      </c>
      <c r="C560" s="4" t="str">
        <f>TEXT(A560,"mmmm")</f>
        <v>January</v>
      </c>
      <c r="D560" s="4">
        <f>Raw_Data!A560</f>
        <v>40</v>
      </c>
      <c r="E560" s="4" t="str">
        <f>Raw_Data!B560</f>
        <v>h</v>
      </c>
      <c r="F560" s="4">
        <f>Raw_Data!C560</f>
        <v>544.2835321</v>
      </c>
    </row>
    <row r="561" spans="1:6" thickTop="1" thickBot="1" x14ac:dyDescent="0.35">
      <c r="A561" s="5">
        <f>Raw_Data!D561</f>
        <v>44742</v>
      </c>
      <c r="B561" s="4">
        <f>YEAR(A561)</f>
        <v>2022</v>
      </c>
      <c r="C561" s="4" t="str">
        <f>TEXT(A561,"mmmm")</f>
        <v>June</v>
      </c>
      <c r="D561" s="4">
        <f>Raw_Data!A561</f>
        <v>61</v>
      </c>
      <c r="E561" s="4" t="str">
        <f>Raw_Data!B561</f>
        <v>e</v>
      </c>
      <c r="F561" s="4">
        <f>Raw_Data!C561</f>
        <v>483.9904373</v>
      </c>
    </row>
    <row r="562" spans="1:6" thickTop="1" thickBot="1" x14ac:dyDescent="0.35">
      <c r="A562" s="5">
        <f>Raw_Data!D562</f>
        <v>44723</v>
      </c>
      <c r="B562" s="4">
        <f>YEAR(A562)</f>
        <v>2022</v>
      </c>
      <c r="C562" s="4" t="str">
        <f>TEXT(A562,"mmmm")</f>
        <v>June</v>
      </c>
      <c r="D562" s="4">
        <f>Raw_Data!A562</f>
        <v>99</v>
      </c>
      <c r="E562" s="4" t="str">
        <f>Raw_Data!B562</f>
        <v>c</v>
      </c>
      <c r="F562" s="4">
        <f>Raw_Data!C562</f>
        <v>530.27330830000005</v>
      </c>
    </row>
    <row r="563" spans="1:6" thickTop="1" thickBot="1" x14ac:dyDescent="0.35">
      <c r="A563" s="5">
        <f>Raw_Data!D563</f>
        <v>44742</v>
      </c>
      <c r="B563" s="4">
        <f>YEAR(A563)</f>
        <v>2022</v>
      </c>
      <c r="C563" s="4" t="str">
        <f>TEXT(A563,"mmmm")</f>
        <v>June</v>
      </c>
      <c r="D563" s="4">
        <f>Raw_Data!A563</f>
        <v>95</v>
      </c>
      <c r="E563" s="4" t="str">
        <f>Raw_Data!B563</f>
        <v>j</v>
      </c>
      <c r="F563" s="4">
        <f>Raw_Data!C563</f>
        <v>643.17554429999996</v>
      </c>
    </row>
    <row r="564" spans="1:6" thickTop="1" thickBot="1" x14ac:dyDescent="0.35">
      <c r="A564" s="5">
        <f>Raw_Data!D564</f>
        <v>44871</v>
      </c>
      <c r="B564" s="4">
        <f>YEAR(A564)</f>
        <v>2022</v>
      </c>
      <c r="C564" s="4" t="str">
        <f>TEXT(A564,"mmmm")</f>
        <v>November</v>
      </c>
      <c r="D564" s="4">
        <f>Raw_Data!A564</f>
        <v>22</v>
      </c>
      <c r="E564" s="4" t="str">
        <f>Raw_Data!B564</f>
        <v>e</v>
      </c>
      <c r="F564" s="4">
        <f>Raw_Data!C564</f>
        <v>576.03643090000003</v>
      </c>
    </row>
    <row r="565" spans="1:6" thickTop="1" thickBot="1" x14ac:dyDescent="0.35">
      <c r="A565" s="5">
        <f>Raw_Data!D565</f>
        <v>44637</v>
      </c>
      <c r="B565" s="4">
        <f>YEAR(A565)</f>
        <v>2022</v>
      </c>
      <c r="C565" s="4" t="str">
        <f>TEXT(A565,"mmmm")</f>
        <v>March</v>
      </c>
      <c r="D565" s="4">
        <f>Raw_Data!A565</f>
        <v>80</v>
      </c>
      <c r="E565" s="4" t="str">
        <f>Raw_Data!B565</f>
        <v>d</v>
      </c>
      <c r="F565" s="4">
        <f>Raw_Data!C565</f>
        <v>545.78848889999995</v>
      </c>
    </row>
    <row r="566" spans="1:6" thickTop="1" thickBot="1" x14ac:dyDescent="0.35">
      <c r="A566" s="5">
        <f>Raw_Data!D566</f>
        <v>44830</v>
      </c>
      <c r="B566" s="4">
        <f>YEAR(A566)</f>
        <v>2022</v>
      </c>
      <c r="C566" s="4" t="str">
        <f>TEXT(A566,"mmmm")</f>
        <v>September</v>
      </c>
      <c r="D566" s="4">
        <f>Raw_Data!A566</f>
        <v>86</v>
      </c>
      <c r="E566" s="4" t="str">
        <f>Raw_Data!B566</f>
        <v>d</v>
      </c>
      <c r="F566" s="4">
        <f>Raw_Data!C566</f>
        <v>524.7813218</v>
      </c>
    </row>
    <row r="567" spans="1:6" thickTop="1" thickBot="1" x14ac:dyDescent="0.35">
      <c r="A567" s="5">
        <f>Raw_Data!D567</f>
        <v>44701</v>
      </c>
      <c r="B567" s="4">
        <f>YEAR(A567)</f>
        <v>2022</v>
      </c>
      <c r="C567" s="4" t="str">
        <f>TEXT(A567,"mmmm")</f>
        <v>May</v>
      </c>
      <c r="D567" s="4">
        <f>Raw_Data!A567</f>
        <v>93</v>
      </c>
      <c r="E567" s="4" t="str">
        <f>Raw_Data!B567</f>
        <v>g</v>
      </c>
      <c r="F567" s="4">
        <f>Raw_Data!C567</f>
        <v>498.83206510000002</v>
      </c>
    </row>
    <row r="568" spans="1:6" thickTop="1" thickBot="1" x14ac:dyDescent="0.35">
      <c r="A568" s="5">
        <f>Raw_Data!D568</f>
        <v>44830</v>
      </c>
      <c r="B568" s="4">
        <f>YEAR(A568)</f>
        <v>2022</v>
      </c>
      <c r="C568" s="4" t="str">
        <f>TEXT(A568,"mmmm")</f>
        <v>September</v>
      </c>
      <c r="D568" s="4">
        <f>Raw_Data!A568</f>
        <v>56</v>
      </c>
      <c r="E568" s="4" t="str">
        <f>Raw_Data!B568</f>
        <v>a</v>
      </c>
      <c r="F568" s="4">
        <f>Raw_Data!C568</f>
        <v>351.95356550000002</v>
      </c>
    </row>
    <row r="569" spans="1:6" thickTop="1" thickBot="1" x14ac:dyDescent="0.35">
      <c r="A569" s="5">
        <f>Raw_Data!D569</f>
        <v>44882</v>
      </c>
      <c r="B569" s="4">
        <f>YEAR(A569)</f>
        <v>2022</v>
      </c>
      <c r="C569" s="4" t="str">
        <f>TEXT(A569,"mmmm")</f>
        <v>November</v>
      </c>
      <c r="D569" s="4">
        <f>Raw_Data!A569</f>
        <v>33</v>
      </c>
      <c r="E569" s="4" t="str">
        <f>Raw_Data!B569</f>
        <v>b</v>
      </c>
      <c r="F569" s="4">
        <f>Raw_Data!C569</f>
        <v>411.97927570000002</v>
      </c>
    </row>
    <row r="570" spans="1:6" thickTop="1" thickBot="1" x14ac:dyDescent="0.35">
      <c r="A570" s="5">
        <f>Raw_Data!D570</f>
        <v>44685</v>
      </c>
      <c r="B570" s="4">
        <f>YEAR(A570)</f>
        <v>2022</v>
      </c>
      <c r="C570" s="4" t="str">
        <f>TEXT(A570,"mmmm")</f>
        <v>May</v>
      </c>
      <c r="D570" s="4">
        <f>Raw_Data!A570</f>
        <v>64</v>
      </c>
      <c r="E570" s="4" t="str">
        <f>Raw_Data!B570</f>
        <v>e</v>
      </c>
      <c r="F570" s="4">
        <f>Raw_Data!C570</f>
        <v>599.85932730000002</v>
      </c>
    </row>
    <row r="571" spans="1:6" thickTop="1" thickBot="1" x14ac:dyDescent="0.35">
      <c r="A571" s="5">
        <f>Raw_Data!D571</f>
        <v>44601</v>
      </c>
      <c r="B571" s="4">
        <f>YEAR(A571)</f>
        <v>2022</v>
      </c>
      <c r="C571" s="4" t="str">
        <f>TEXT(A571,"mmmm")</f>
        <v>February</v>
      </c>
      <c r="D571" s="4">
        <f>Raw_Data!A571</f>
        <v>53</v>
      </c>
      <c r="E571" s="4" t="str">
        <f>Raw_Data!B571</f>
        <v>c</v>
      </c>
      <c r="F571" s="4">
        <f>Raw_Data!C571</f>
        <v>520.88545069999998</v>
      </c>
    </row>
    <row r="572" spans="1:6" thickTop="1" thickBot="1" x14ac:dyDescent="0.35">
      <c r="A572" s="5">
        <f>Raw_Data!D572</f>
        <v>44661</v>
      </c>
      <c r="B572" s="4">
        <f>YEAR(A572)</f>
        <v>2022</v>
      </c>
      <c r="C572" s="4" t="str">
        <f>TEXT(A572,"mmmm")</f>
        <v>April</v>
      </c>
      <c r="D572" s="4">
        <f>Raw_Data!A572</f>
        <v>31</v>
      </c>
      <c r="E572" s="4" t="str">
        <f>Raw_Data!B572</f>
        <v>g</v>
      </c>
      <c r="F572" s="4">
        <f>Raw_Data!C572</f>
        <v>449.15567850000002</v>
      </c>
    </row>
    <row r="573" spans="1:6" thickTop="1" thickBot="1" x14ac:dyDescent="0.35">
      <c r="A573" s="5">
        <f>Raw_Data!D573</f>
        <v>44906</v>
      </c>
      <c r="B573" s="4">
        <f>YEAR(A573)</f>
        <v>2022</v>
      </c>
      <c r="C573" s="4" t="str">
        <f>TEXT(A573,"mmmm")</f>
        <v>December</v>
      </c>
      <c r="D573" s="4">
        <f>Raw_Data!A573</f>
        <v>46</v>
      </c>
      <c r="E573" s="4" t="str">
        <f>Raw_Data!B573</f>
        <v>h</v>
      </c>
      <c r="F573" s="4">
        <f>Raw_Data!C573</f>
        <v>565.33947950000004</v>
      </c>
    </row>
    <row r="574" spans="1:6" thickTop="1" thickBot="1" x14ac:dyDescent="0.35">
      <c r="A574" s="5">
        <f>Raw_Data!D574</f>
        <v>44629</v>
      </c>
      <c r="B574" s="4">
        <f>YEAR(A574)</f>
        <v>2022</v>
      </c>
      <c r="C574" s="4" t="str">
        <f>TEXT(A574,"mmmm")</f>
        <v>March</v>
      </c>
      <c r="D574" s="4">
        <f>Raw_Data!A574</f>
        <v>72</v>
      </c>
      <c r="E574" s="4" t="str">
        <f>Raw_Data!B574</f>
        <v>e</v>
      </c>
      <c r="F574" s="4">
        <f>Raw_Data!C574</f>
        <v>399.00676520000002</v>
      </c>
    </row>
    <row r="575" spans="1:6" thickTop="1" thickBot="1" x14ac:dyDescent="0.35">
      <c r="A575" s="5">
        <f>Raw_Data!D575</f>
        <v>44736</v>
      </c>
      <c r="B575" s="4">
        <f>YEAR(A575)</f>
        <v>2022</v>
      </c>
      <c r="C575" s="4" t="str">
        <f>TEXT(A575,"mmmm")</f>
        <v>June</v>
      </c>
      <c r="D575" s="4">
        <f>Raw_Data!A575</f>
        <v>24</v>
      </c>
      <c r="E575" s="4" t="str">
        <f>Raw_Data!B575</f>
        <v>g</v>
      </c>
      <c r="F575" s="4">
        <f>Raw_Data!C575</f>
        <v>520.33245079999995</v>
      </c>
    </row>
    <row r="576" spans="1:6" thickTop="1" thickBot="1" x14ac:dyDescent="0.35">
      <c r="A576" s="5">
        <f>Raw_Data!D576</f>
        <v>44737</v>
      </c>
      <c r="B576" s="4">
        <f>YEAR(A576)</f>
        <v>2022</v>
      </c>
      <c r="C576" s="4" t="str">
        <f>TEXT(A576,"mmmm")</f>
        <v>June</v>
      </c>
      <c r="D576" s="4">
        <f>Raw_Data!A576</f>
        <v>60</v>
      </c>
      <c r="E576" s="4" t="str">
        <f>Raw_Data!B576</f>
        <v>c</v>
      </c>
      <c r="F576" s="4">
        <f>Raw_Data!C576</f>
        <v>416.54886269999997</v>
      </c>
    </row>
    <row r="577" spans="1:6" thickTop="1" thickBot="1" x14ac:dyDescent="0.35">
      <c r="A577" s="5">
        <f>Raw_Data!D577</f>
        <v>44868</v>
      </c>
      <c r="B577" s="4">
        <f>YEAR(A577)</f>
        <v>2022</v>
      </c>
      <c r="C577" s="4" t="str">
        <f>TEXT(A577,"mmmm")</f>
        <v>November</v>
      </c>
      <c r="D577" s="4">
        <f>Raw_Data!A577</f>
        <v>30</v>
      </c>
      <c r="E577" s="4" t="str">
        <f>Raw_Data!B577</f>
        <v>f</v>
      </c>
      <c r="F577" s="4">
        <f>Raw_Data!C577</f>
        <v>437.47422280000001</v>
      </c>
    </row>
    <row r="578" spans="1:6" thickTop="1" thickBot="1" x14ac:dyDescent="0.35">
      <c r="A578" s="5">
        <f>Raw_Data!D578</f>
        <v>44862</v>
      </c>
      <c r="B578" s="4">
        <f>YEAR(A578)</f>
        <v>2022</v>
      </c>
      <c r="C578" s="4" t="str">
        <f>TEXT(A578,"mmmm")</f>
        <v>October</v>
      </c>
      <c r="D578" s="4">
        <f>Raw_Data!A578</f>
        <v>23</v>
      </c>
      <c r="E578" s="4" t="str">
        <f>Raw_Data!B578</f>
        <v>h</v>
      </c>
      <c r="F578" s="4">
        <f>Raw_Data!C578</f>
        <v>551.14770820000001</v>
      </c>
    </row>
    <row r="579" spans="1:6" thickTop="1" thickBot="1" x14ac:dyDescent="0.35">
      <c r="A579" s="5">
        <f>Raw_Data!D579</f>
        <v>44711</v>
      </c>
      <c r="B579" s="4">
        <f>YEAR(A579)</f>
        <v>2022</v>
      </c>
      <c r="C579" s="4" t="str">
        <f>TEXT(A579,"mmmm")</f>
        <v>May</v>
      </c>
      <c r="D579" s="4">
        <f>Raw_Data!A579</f>
        <v>96</v>
      </c>
      <c r="E579" s="4" t="str">
        <f>Raw_Data!B579</f>
        <v>j</v>
      </c>
      <c r="F579" s="4">
        <f>Raw_Data!C579</f>
        <v>440.0650718</v>
      </c>
    </row>
    <row r="580" spans="1:6" thickTop="1" thickBot="1" x14ac:dyDescent="0.35">
      <c r="A580" s="5">
        <f>Raw_Data!D580</f>
        <v>44624</v>
      </c>
      <c r="B580" s="4">
        <f>YEAR(A580)</f>
        <v>2022</v>
      </c>
      <c r="C580" s="4" t="str">
        <f>TEXT(A580,"mmmm")</f>
        <v>March</v>
      </c>
      <c r="D580" s="4">
        <f>Raw_Data!A580</f>
        <v>17</v>
      </c>
      <c r="E580" s="4" t="str">
        <f>Raw_Data!B580</f>
        <v>f</v>
      </c>
      <c r="F580" s="4">
        <f>Raw_Data!C580</f>
        <v>490.6123599</v>
      </c>
    </row>
    <row r="581" spans="1:6" thickTop="1" thickBot="1" x14ac:dyDescent="0.35">
      <c r="A581" s="5">
        <f>Raw_Data!D581</f>
        <v>44879</v>
      </c>
      <c r="B581" s="4">
        <f>YEAR(A581)</f>
        <v>2022</v>
      </c>
      <c r="C581" s="4" t="str">
        <f>TEXT(A581,"mmmm")</f>
        <v>November</v>
      </c>
      <c r="D581" s="4">
        <f>Raw_Data!A581</f>
        <v>90</v>
      </c>
      <c r="E581" s="4" t="str">
        <f>Raw_Data!B581</f>
        <v>j</v>
      </c>
      <c r="F581" s="4">
        <f>Raw_Data!C581</f>
        <v>531.26263240000003</v>
      </c>
    </row>
    <row r="582" spans="1:6" thickTop="1" thickBot="1" x14ac:dyDescent="0.35">
      <c r="A582" s="5">
        <f>Raw_Data!D582</f>
        <v>44572</v>
      </c>
      <c r="B582" s="4">
        <f>YEAR(A582)</f>
        <v>2022</v>
      </c>
      <c r="C582" s="4" t="str">
        <f>TEXT(A582,"mmmm")</f>
        <v>January</v>
      </c>
      <c r="D582" s="4">
        <f>Raw_Data!A582</f>
        <v>59</v>
      </c>
      <c r="E582" s="4" t="str">
        <f>Raw_Data!B582</f>
        <v>h</v>
      </c>
      <c r="F582" s="4">
        <f>Raw_Data!C582</f>
        <v>387.28095230000002</v>
      </c>
    </row>
    <row r="583" spans="1:6" thickTop="1" thickBot="1" x14ac:dyDescent="0.35">
      <c r="A583" s="5">
        <f>Raw_Data!D583</f>
        <v>44795</v>
      </c>
      <c r="B583" s="4">
        <f>YEAR(A583)</f>
        <v>2022</v>
      </c>
      <c r="C583" s="4" t="str">
        <f>TEXT(A583,"mmmm")</f>
        <v>August</v>
      </c>
      <c r="D583" s="4">
        <f>Raw_Data!A583</f>
        <v>57</v>
      </c>
      <c r="E583" s="4" t="str">
        <f>Raw_Data!B583</f>
        <v>j</v>
      </c>
      <c r="F583" s="4">
        <f>Raw_Data!C583</f>
        <v>737.89054009999995</v>
      </c>
    </row>
    <row r="584" spans="1:6" thickTop="1" thickBot="1" x14ac:dyDescent="0.35">
      <c r="A584" s="5">
        <f>Raw_Data!D584</f>
        <v>44650</v>
      </c>
      <c r="B584" s="4">
        <f>YEAR(A584)</f>
        <v>2022</v>
      </c>
      <c r="C584" s="4" t="str">
        <f>TEXT(A584,"mmmm")</f>
        <v>March</v>
      </c>
      <c r="D584" s="4">
        <f>Raw_Data!A584</f>
        <v>43</v>
      </c>
      <c r="E584" s="4" t="str">
        <f>Raw_Data!B584</f>
        <v>f</v>
      </c>
      <c r="F584" s="4">
        <f>Raw_Data!C584</f>
        <v>604.61353220000001</v>
      </c>
    </row>
    <row r="585" spans="1:6" thickTop="1" thickBot="1" x14ac:dyDescent="0.35">
      <c r="A585" s="5">
        <f>Raw_Data!D585</f>
        <v>44844</v>
      </c>
      <c r="B585" s="4">
        <f>YEAR(A585)</f>
        <v>2022</v>
      </c>
      <c r="C585" s="4" t="str">
        <f>TEXT(A585,"mmmm")</f>
        <v>October</v>
      </c>
      <c r="D585" s="4">
        <f>Raw_Data!A585</f>
        <v>23</v>
      </c>
      <c r="E585" s="4" t="str">
        <f>Raw_Data!B585</f>
        <v>c</v>
      </c>
      <c r="F585" s="4">
        <f>Raw_Data!C585</f>
        <v>529.78115419999995</v>
      </c>
    </row>
    <row r="586" spans="1:6" thickTop="1" thickBot="1" x14ac:dyDescent="0.35">
      <c r="A586" s="5">
        <f>Raw_Data!D586</f>
        <v>44769</v>
      </c>
      <c r="B586" s="4">
        <f>YEAR(A586)</f>
        <v>2022</v>
      </c>
      <c r="C586" s="4" t="str">
        <f>TEXT(A586,"mmmm")</f>
        <v>July</v>
      </c>
      <c r="D586" s="4">
        <f>Raw_Data!A586</f>
        <v>90</v>
      </c>
      <c r="E586" s="4" t="str">
        <f>Raw_Data!B586</f>
        <v>g</v>
      </c>
      <c r="F586" s="4">
        <f>Raw_Data!C586</f>
        <v>321.25105839999998</v>
      </c>
    </row>
    <row r="587" spans="1:6" thickTop="1" thickBot="1" x14ac:dyDescent="0.35">
      <c r="A587" s="5">
        <f>Raw_Data!D587</f>
        <v>44923</v>
      </c>
      <c r="B587" s="4">
        <f>YEAR(A587)</f>
        <v>2022</v>
      </c>
      <c r="C587" s="4" t="str">
        <f>TEXT(A587,"mmmm")</f>
        <v>December</v>
      </c>
      <c r="D587" s="4">
        <f>Raw_Data!A587</f>
        <v>100</v>
      </c>
      <c r="E587" s="4" t="str">
        <f>Raw_Data!B587</f>
        <v>a</v>
      </c>
      <c r="F587" s="4">
        <f>Raw_Data!C587</f>
        <v>600.44889320000004</v>
      </c>
    </row>
    <row r="588" spans="1:6" thickTop="1" thickBot="1" x14ac:dyDescent="0.35">
      <c r="A588" s="5">
        <f>Raw_Data!D588</f>
        <v>44651</v>
      </c>
      <c r="B588" s="4">
        <f>YEAR(A588)</f>
        <v>2022</v>
      </c>
      <c r="C588" s="4" t="str">
        <f>TEXT(A588,"mmmm")</f>
        <v>March</v>
      </c>
      <c r="D588" s="4">
        <f>Raw_Data!A588</f>
        <v>45</v>
      </c>
      <c r="E588" s="4" t="str">
        <f>Raw_Data!B588</f>
        <v>f</v>
      </c>
      <c r="F588" s="4">
        <f>Raw_Data!C588</f>
        <v>624.42118800000003</v>
      </c>
    </row>
    <row r="589" spans="1:6" thickTop="1" thickBot="1" x14ac:dyDescent="0.35">
      <c r="A589" s="5">
        <f>Raw_Data!D589</f>
        <v>44608</v>
      </c>
      <c r="B589" s="4">
        <f>YEAR(A589)</f>
        <v>2022</v>
      </c>
      <c r="C589" s="4" t="str">
        <f>TEXT(A589,"mmmm")</f>
        <v>February</v>
      </c>
      <c r="D589" s="4">
        <f>Raw_Data!A589</f>
        <v>8</v>
      </c>
      <c r="E589" s="4" t="str">
        <f>Raw_Data!B589</f>
        <v>e</v>
      </c>
      <c r="F589" s="4">
        <f>Raw_Data!C589</f>
        <v>551.16851369999995</v>
      </c>
    </row>
    <row r="590" spans="1:6" thickTop="1" thickBot="1" x14ac:dyDescent="0.35">
      <c r="A590" s="5">
        <f>Raw_Data!D590</f>
        <v>44683</v>
      </c>
      <c r="B590" s="4">
        <f>YEAR(A590)</f>
        <v>2022</v>
      </c>
      <c r="C590" s="4" t="str">
        <f>TEXT(A590,"mmmm")</f>
        <v>May</v>
      </c>
      <c r="D590" s="4">
        <f>Raw_Data!A590</f>
        <v>79</v>
      </c>
      <c r="E590" s="4" t="str">
        <f>Raw_Data!B590</f>
        <v>b</v>
      </c>
      <c r="F590" s="4">
        <f>Raw_Data!C590</f>
        <v>547.4771131</v>
      </c>
    </row>
    <row r="591" spans="1:6" thickTop="1" thickBot="1" x14ac:dyDescent="0.35">
      <c r="A591" s="5">
        <f>Raw_Data!D591</f>
        <v>44814</v>
      </c>
      <c r="B591" s="4">
        <f>YEAR(A591)</f>
        <v>2022</v>
      </c>
      <c r="C591" s="4" t="str">
        <f>TEXT(A591,"mmmm")</f>
        <v>September</v>
      </c>
      <c r="D591" s="4">
        <f>Raw_Data!A591</f>
        <v>36</v>
      </c>
      <c r="E591" s="4" t="str">
        <f>Raw_Data!B591</f>
        <v>g</v>
      </c>
      <c r="F591" s="4">
        <f>Raw_Data!C591</f>
        <v>448.31292280000002</v>
      </c>
    </row>
    <row r="592" spans="1:6" thickTop="1" thickBot="1" x14ac:dyDescent="0.35">
      <c r="A592" s="5">
        <f>Raw_Data!D592</f>
        <v>44868</v>
      </c>
      <c r="B592" s="4">
        <f>YEAR(A592)</f>
        <v>2022</v>
      </c>
      <c r="C592" s="4" t="str">
        <f>TEXT(A592,"mmmm")</f>
        <v>November</v>
      </c>
      <c r="D592" s="4">
        <f>Raw_Data!A592</f>
        <v>67</v>
      </c>
      <c r="E592" s="4" t="str">
        <f>Raw_Data!B592</f>
        <v>c</v>
      </c>
      <c r="F592" s="4">
        <f>Raw_Data!C592</f>
        <v>334.02510260000003</v>
      </c>
    </row>
    <row r="593" spans="1:6" thickTop="1" thickBot="1" x14ac:dyDescent="0.35">
      <c r="A593" s="5">
        <f>Raw_Data!D593</f>
        <v>44596</v>
      </c>
      <c r="B593" s="4">
        <f>YEAR(A593)</f>
        <v>2022</v>
      </c>
      <c r="C593" s="4" t="str">
        <f>TEXT(A593,"mmmm")</f>
        <v>February</v>
      </c>
      <c r="D593" s="4">
        <f>Raw_Data!A593</f>
        <v>39</v>
      </c>
      <c r="E593" s="4" t="str">
        <f>Raw_Data!B593</f>
        <v>c</v>
      </c>
      <c r="F593" s="4">
        <f>Raw_Data!C593</f>
        <v>522.40086789999998</v>
      </c>
    </row>
    <row r="594" spans="1:6" thickTop="1" thickBot="1" x14ac:dyDescent="0.35">
      <c r="A594" s="5">
        <f>Raw_Data!D594</f>
        <v>44776</v>
      </c>
      <c r="B594" s="4">
        <f>YEAR(A594)</f>
        <v>2022</v>
      </c>
      <c r="C594" s="4" t="str">
        <f>TEXT(A594,"mmmm")</f>
        <v>August</v>
      </c>
      <c r="D594" s="4">
        <f>Raw_Data!A594</f>
        <v>33</v>
      </c>
      <c r="E594" s="4" t="str">
        <f>Raw_Data!B594</f>
        <v>d</v>
      </c>
      <c r="F594" s="4">
        <f>Raw_Data!C594</f>
        <v>680.72487599999999</v>
      </c>
    </row>
    <row r="595" spans="1:6" thickTop="1" thickBot="1" x14ac:dyDescent="0.35">
      <c r="A595" s="5">
        <f>Raw_Data!D595</f>
        <v>44617</v>
      </c>
      <c r="B595" s="4">
        <f>YEAR(A595)</f>
        <v>2022</v>
      </c>
      <c r="C595" s="4" t="str">
        <f>TEXT(A595,"mmmm")</f>
        <v>February</v>
      </c>
      <c r="D595" s="4">
        <f>Raw_Data!A595</f>
        <v>38</v>
      </c>
      <c r="E595" s="4" t="str">
        <f>Raw_Data!B595</f>
        <v>a</v>
      </c>
      <c r="F595" s="4">
        <f>Raw_Data!C595</f>
        <v>518.97257649999995</v>
      </c>
    </row>
    <row r="596" spans="1:6" thickTop="1" thickBot="1" x14ac:dyDescent="0.35">
      <c r="A596" s="5">
        <f>Raw_Data!D596</f>
        <v>44661</v>
      </c>
      <c r="B596" s="4">
        <f>YEAR(A596)</f>
        <v>2022</v>
      </c>
      <c r="C596" s="4" t="str">
        <f>TEXT(A596,"mmmm")</f>
        <v>April</v>
      </c>
      <c r="D596" s="4">
        <f>Raw_Data!A596</f>
        <v>90</v>
      </c>
      <c r="E596" s="4" t="str">
        <f>Raw_Data!B596</f>
        <v>f</v>
      </c>
      <c r="F596" s="4">
        <f>Raw_Data!C596</f>
        <v>383.70737300000002</v>
      </c>
    </row>
    <row r="597" spans="1:6" thickTop="1" thickBot="1" x14ac:dyDescent="0.35">
      <c r="A597" s="5">
        <f>Raw_Data!D597</f>
        <v>44622</v>
      </c>
      <c r="B597" s="4">
        <f>YEAR(A597)</f>
        <v>2022</v>
      </c>
      <c r="C597" s="4" t="str">
        <f>TEXT(A597,"mmmm")</f>
        <v>March</v>
      </c>
      <c r="D597" s="4">
        <f>Raw_Data!A597</f>
        <v>28</v>
      </c>
      <c r="E597" s="4" t="str">
        <f>Raw_Data!B597</f>
        <v>e</v>
      </c>
      <c r="F597" s="4">
        <f>Raw_Data!C597</f>
        <v>801.76214349999998</v>
      </c>
    </row>
    <row r="598" spans="1:6" thickTop="1" thickBot="1" x14ac:dyDescent="0.35">
      <c r="A598" s="5">
        <f>Raw_Data!D598</f>
        <v>44856</v>
      </c>
      <c r="B598" s="4">
        <f>YEAR(A598)</f>
        <v>2022</v>
      </c>
      <c r="C598" s="4" t="str">
        <f>TEXT(A598,"mmmm")</f>
        <v>October</v>
      </c>
      <c r="D598" s="4">
        <f>Raw_Data!A598</f>
        <v>90</v>
      </c>
      <c r="E598" s="4" t="str">
        <f>Raw_Data!B598</f>
        <v>b</v>
      </c>
      <c r="F598" s="4">
        <f>Raw_Data!C598</f>
        <v>461.42786330000001</v>
      </c>
    </row>
    <row r="599" spans="1:6" thickTop="1" thickBot="1" x14ac:dyDescent="0.35">
      <c r="A599" s="5">
        <f>Raw_Data!D599</f>
        <v>44834</v>
      </c>
      <c r="B599" s="4">
        <f>YEAR(A599)</f>
        <v>2022</v>
      </c>
      <c r="C599" s="4" t="str">
        <f>TEXT(A599,"mmmm")</f>
        <v>September</v>
      </c>
      <c r="D599" s="4">
        <f>Raw_Data!A599</f>
        <v>81</v>
      </c>
      <c r="E599" s="4" t="str">
        <f>Raw_Data!B599</f>
        <v>g</v>
      </c>
      <c r="F599" s="4">
        <f>Raw_Data!C599</f>
        <v>556.27498309999999</v>
      </c>
    </row>
    <row r="600" spans="1:6" thickTop="1" thickBot="1" x14ac:dyDescent="0.35">
      <c r="A600" s="5">
        <f>Raw_Data!D600</f>
        <v>44707</v>
      </c>
      <c r="B600" s="4">
        <f>YEAR(A600)</f>
        <v>2022</v>
      </c>
      <c r="C600" s="4" t="str">
        <f>TEXT(A600,"mmmm")</f>
        <v>May</v>
      </c>
      <c r="D600" s="4">
        <f>Raw_Data!A600</f>
        <v>87</v>
      </c>
      <c r="E600" s="4" t="str">
        <f>Raw_Data!B600</f>
        <v>j</v>
      </c>
      <c r="F600" s="4">
        <f>Raw_Data!C600</f>
        <v>588.62009209999997</v>
      </c>
    </row>
    <row r="601" spans="1:6" thickTop="1" thickBot="1" x14ac:dyDescent="0.35">
      <c r="A601" s="5">
        <f>Raw_Data!D601</f>
        <v>44837</v>
      </c>
      <c r="B601" s="4">
        <f>YEAR(A601)</f>
        <v>2022</v>
      </c>
      <c r="C601" s="4" t="str">
        <f>TEXT(A601,"mmmm")</f>
        <v>October</v>
      </c>
      <c r="D601" s="4">
        <f>Raw_Data!A601</f>
        <v>53</v>
      </c>
      <c r="E601" s="4" t="str">
        <f>Raw_Data!B601</f>
        <v>a</v>
      </c>
      <c r="F601" s="4">
        <f>Raw_Data!C601</f>
        <v>464.35342020000002</v>
      </c>
    </row>
    <row r="602" spans="1:6" thickTop="1" thickBot="1" x14ac:dyDescent="0.35">
      <c r="A602" s="5">
        <f>Raw_Data!D602</f>
        <v>44762</v>
      </c>
      <c r="B602" s="4">
        <f>YEAR(A602)</f>
        <v>2022</v>
      </c>
      <c r="C602" s="4" t="str">
        <f>TEXT(A602,"mmmm")</f>
        <v>July</v>
      </c>
      <c r="D602" s="4">
        <f>Raw_Data!A602</f>
        <v>10</v>
      </c>
      <c r="E602" s="4" t="str">
        <f>Raw_Data!B602</f>
        <v>e</v>
      </c>
      <c r="F602" s="4">
        <f>Raw_Data!C602</f>
        <v>524.90985000000001</v>
      </c>
    </row>
    <row r="603" spans="1:6" thickTop="1" thickBot="1" x14ac:dyDescent="0.35">
      <c r="A603" s="5">
        <f>Raw_Data!D603</f>
        <v>44880</v>
      </c>
      <c r="B603" s="4">
        <f>YEAR(A603)</f>
        <v>2022</v>
      </c>
      <c r="C603" s="4" t="str">
        <f>TEXT(A603,"mmmm")</f>
        <v>November</v>
      </c>
      <c r="D603" s="4">
        <f>Raw_Data!A603</f>
        <v>41</v>
      </c>
      <c r="E603" s="4" t="str">
        <f>Raw_Data!B603</f>
        <v>e</v>
      </c>
      <c r="F603" s="4">
        <f>Raw_Data!C603</f>
        <v>463.0827926</v>
      </c>
    </row>
    <row r="604" spans="1:6" thickTop="1" thickBot="1" x14ac:dyDescent="0.35">
      <c r="A604" s="5">
        <f>Raw_Data!D604</f>
        <v>44563</v>
      </c>
      <c r="B604" s="4">
        <f>YEAR(A604)</f>
        <v>2022</v>
      </c>
      <c r="C604" s="4" t="str">
        <f>TEXT(A604,"mmmm")</f>
        <v>January</v>
      </c>
      <c r="D604" s="4">
        <f>Raw_Data!A604</f>
        <v>8</v>
      </c>
      <c r="E604" s="4" t="str">
        <f>Raw_Data!B604</f>
        <v>h</v>
      </c>
      <c r="F604" s="4">
        <f>Raw_Data!C604</f>
        <v>504.1631041</v>
      </c>
    </row>
    <row r="605" spans="1:6" thickTop="1" thickBot="1" x14ac:dyDescent="0.35">
      <c r="A605" s="5">
        <f>Raw_Data!D605</f>
        <v>44925</v>
      </c>
      <c r="B605" s="4">
        <f>YEAR(A605)</f>
        <v>2022</v>
      </c>
      <c r="C605" s="4" t="str">
        <f>TEXT(A605,"mmmm")</f>
        <v>December</v>
      </c>
      <c r="D605" s="4">
        <f>Raw_Data!A605</f>
        <v>1</v>
      </c>
      <c r="E605" s="4" t="str">
        <f>Raw_Data!B605</f>
        <v>c</v>
      </c>
      <c r="F605" s="4">
        <f>Raw_Data!C605</f>
        <v>621.73769589999995</v>
      </c>
    </row>
    <row r="606" spans="1:6" thickTop="1" thickBot="1" x14ac:dyDescent="0.35">
      <c r="A606" s="5">
        <f>Raw_Data!D606</f>
        <v>44651</v>
      </c>
      <c r="B606" s="4">
        <f>YEAR(A606)</f>
        <v>2022</v>
      </c>
      <c r="C606" s="4" t="str">
        <f>TEXT(A606,"mmmm")</f>
        <v>March</v>
      </c>
      <c r="D606" s="4">
        <f>Raw_Data!A606</f>
        <v>80</v>
      </c>
      <c r="E606" s="4" t="str">
        <f>Raw_Data!B606</f>
        <v>a</v>
      </c>
      <c r="F606" s="4">
        <f>Raw_Data!C606</f>
        <v>595.89235429999997</v>
      </c>
    </row>
    <row r="607" spans="1:6" thickTop="1" thickBot="1" x14ac:dyDescent="0.35">
      <c r="A607" s="5">
        <f>Raw_Data!D607</f>
        <v>44564</v>
      </c>
      <c r="B607" s="4">
        <f>YEAR(A607)</f>
        <v>2022</v>
      </c>
      <c r="C607" s="4" t="str">
        <f>TEXT(A607,"mmmm")</f>
        <v>January</v>
      </c>
      <c r="D607" s="4">
        <f>Raw_Data!A607</f>
        <v>66</v>
      </c>
      <c r="E607" s="4" t="str">
        <f>Raw_Data!B607</f>
        <v>d</v>
      </c>
      <c r="F607" s="4">
        <f>Raw_Data!C607</f>
        <v>456.394317</v>
      </c>
    </row>
    <row r="608" spans="1:6" thickTop="1" thickBot="1" x14ac:dyDescent="0.35">
      <c r="A608" s="5">
        <f>Raw_Data!D608</f>
        <v>44630</v>
      </c>
      <c r="B608" s="4">
        <f>YEAR(A608)</f>
        <v>2022</v>
      </c>
      <c r="C608" s="4" t="str">
        <f>TEXT(A608,"mmmm")</f>
        <v>March</v>
      </c>
      <c r="D608" s="4">
        <f>Raw_Data!A608</f>
        <v>78</v>
      </c>
      <c r="E608" s="4" t="str">
        <f>Raw_Data!B608</f>
        <v>h</v>
      </c>
      <c r="F608" s="4">
        <f>Raw_Data!C608</f>
        <v>643.98079180000002</v>
      </c>
    </row>
    <row r="609" spans="1:6" thickTop="1" thickBot="1" x14ac:dyDescent="0.35">
      <c r="A609" s="5">
        <f>Raw_Data!D609</f>
        <v>44711</v>
      </c>
      <c r="B609" s="4">
        <f>YEAR(A609)</f>
        <v>2022</v>
      </c>
      <c r="C609" s="4" t="str">
        <f>TEXT(A609,"mmmm")</f>
        <v>May</v>
      </c>
      <c r="D609" s="4">
        <f>Raw_Data!A609</f>
        <v>12</v>
      </c>
      <c r="E609" s="4" t="str">
        <f>Raw_Data!B609</f>
        <v>b</v>
      </c>
      <c r="F609" s="4">
        <f>Raw_Data!C609</f>
        <v>581.65593120000005</v>
      </c>
    </row>
    <row r="610" spans="1:6" thickTop="1" thickBot="1" x14ac:dyDescent="0.35">
      <c r="A610" s="5">
        <f>Raw_Data!D610</f>
        <v>44749</v>
      </c>
      <c r="B610" s="4">
        <f>YEAR(A610)</f>
        <v>2022</v>
      </c>
      <c r="C610" s="4" t="str">
        <f>TEXT(A610,"mmmm")</f>
        <v>July</v>
      </c>
      <c r="D610" s="4">
        <f>Raw_Data!A610</f>
        <v>90</v>
      </c>
      <c r="E610" s="4" t="str">
        <f>Raw_Data!B610</f>
        <v>d</v>
      </c>
      <c r="F610" s="4">
        <f>Raw_Data!C610</f>
        <v>324.20227160000002</v>
      </c>
    </row>
    <row r="611" spans="1:6" thickTop="1" thickBot="1" x14ac:dyDescent="0.35">
      <c r="A611" s="5">
        <f>Raw_Data!D611</f>
        <v>44907</v>
      </c>
      <c r="B611" s="4">
        <f>YEAR(A611)</f>
        <v>2022</v>
      </c>
      <c r="C611" s="4" t="str">
        <f>TEXT(A611,"mmmm")</f>
        <v>December</v>
      </c>
      <c r="D611" s="4">
        <f>Raw_Data!A611</f>
        <v>72</v>
      </c>
      <c r="E611" s="4" t="str">
        <f>Raw_Data!B611</f>
        <v>h</v>
      </c>
      <c r="F611" s="4">
        <f>Raw_Data!C611</f>
        <v>495.19585089999998</v>
      </c>
    </row>
    <row r="612" spans="1:6" thickTop="1" thickBot="1" x14ac:dyDescent="0.35">
      <c r="A612" s="5">
        <f>Raw_Data!D612</f>
        <v>44690</v>
      </c>
      <c r="B612" s="4">
        <f>YEAR(A612)</f>
        <v>2022</v>
      </c>
      <c r="C612" s="4" t="str">
        <f>TEXT(A612,"mmmm")</f>
        <v>May</v>
      </c>
      <c r="D612" s="4">
        <f>Raw_Data!A612</f>
        <v>41</v>
      </c>
      <c r="E612" s="4" t="str">
        <f>Raw_Data!B612</f>
        <v>h</v>
      </c>
      <c r="F612" s="4">
        <f>Raw_Data!C612</f>
        <v>649.44416349999995</v>
      </c>
    </row>
    <row r="613" spans="1:6" thickTop="1" thickBot="1" x14ac:dyDescent="0.35">
      <c r="A613" s="5">
        <f>Raw_Data!D613</f>
        <v>44671</v>
      </c>
      <c r="B613" s="4">
        <f>YEAR(A613)</f>
        <v>2022</v>
      </c>
      <c r="C613" s="4" t="str">
        <f>TEXT(A613,"mmmm")</f>
        <v>April</v>
      </c>
      <c r="D613" s="4">
        <f>Raw_Data!A613</f>
        <v>8</v>
      </c>
      <c r="E613" s="4" t="str">
        <f>Raw_Data!B613</f>
        <v>e</v>
      </c>
      <c r="F613" s="4">
        <f>Raw_Data!C613</f>
        <v>185.44799639999999</v>
      </c>
    </row>
    <row r="614" spans="1:6" thickTop="1" thickBot="1" x14ac:dyDescent="0.35">
      <c r="A614" s="5">
        <f>Raw_Data!D614</f>
        <v>44710</v>
      </c>
      <c r="B614" s="4">
        <f>YEAR(A614)</f>
        <v>2022</v>
      </c>
      <c r="C614" s="4" t="str">
        <f>TEXT(A614,"mmmm")</f>
        <v>May</v>
      </c>
      <c r="D614" s="4">
        <f>Raw_Data!A614</f>
        <v>57</v>
      </c>
      <c r="E614" s="4" t="str">
        <f>Raw_Data!B614</f>
        <v>f</v>
      </c>
      <c r="F614" s="4">
        <f>Raw_Data!C614</f>
        <v>446.68779960000001</v>
      </c>
    </row>
    <row r="615" spans="1:6" thickTop="1" thickBot="1" x14ac:dyDescent="0.35">
      <c r="A615" s="5">
        <f>Raw_Data!D615</f>
        <v>44671</v>
      </c>
      <c r="B615" s="4">
        <f>YEAR(A615)</f>
        <v>2022</v>
      </c>
      <c r="C615" s="4" t="str">
        <f>TEXT(A615,"mmmm")</f>
        <v>April</v>
      </c>
      <c r="D615" s="4">
        <f>Raw_Data!A615</f>
        <v>73</v>
      </c>
      <c r="E615" s="4" t="str">
        <f>Raw_Data!B615</f>
        <v>g</v>
      </c>
      <c r="F615" s="4">
        <f>Raw_Data!C615</f>
        <v>595.2078209</v>
      </c>
    </row>
    <row r="616" spans="1:6" thickTop="1" thickBot="1" x14ac:dyDescent="0.35">
      <c r="A616" s="5">
        <f>Raw_Data!D616</f>
        <v>44647</v>
      </c>
      <c r="B616" s="4">
        <f>YEAR(A616)</f>
        <v>2022</v>
      </c>
      <c r="C616" s="4" t="str">
        <f>TEXT(A616,"mmmm")</f>
        <v>March</v>
      </c>
      <c r="D616" s="4">
        <f>Raw_Data!A616</f>
        <v>52</v>
      </c>
      <c r="E616" s="4" t="str">
        <f>Raw_Data!B616</f>
        <v>i</v>
      </c>
      <c r="F616" s="4">
        <f>Raw_Data!C616</f>
        <v>546.92538209999998</v>
      </c>
    </row>
    <row r="617" spans="1:6" thickTop="1" thickBot="1" x14ac:dyDescent="0.35">
      <c r="A617" s="5">
        <f>Raw_Data!D617</f>
        <v>44899</v>
      </c>
      <c r="B617" s="4">
        <f>YEAR(A617)</f>
        <v>2022</v>
      </c>
      <c r="C617" s="4" t="str">
        <f>TEXT(A617,"mmmm")</f>
        <v>December</v>
      </c>
      <c r="D617" s="4">
        <f>Raw_Data!A617</f>
        <v>97</v>
      </c>
      <c r="E617" s="4" t="str">
        <f>Raw_Data!B617</f>
        <v>g</v>
      </c>
      <c r="F617" s="4">
        <f>Raw_Data!C617</f>
        <v>410.45506410000002</v>
      </c>
    </row>
    <row r="618" spans="1:6" thickTop="1" thickBot="1" x14ac:dyDescent="0.35">
      <c r="A618" s="5">
        <f>Raw_Data!D618</f>
        <v>44586</v>
      </c>
      <c r="B618" s="4">
        <f>YEAR(A618)</f>
        <v>2022</v>
      </c>
      <c r="C618" s="4" t="str">
        <f>TEXT(A618,"mmmm")</f>
        <v>January</v>
      </c>
      <c r="D618" s="4">
        <f>Raw_Data!A618</f>
        <v>67</v>
      </c>
      <c r="E618" s="4" t="str">
        <f>Raw_Data!B618</f>
        <v>d</v>
      </c>
      <c r="F618" s="4">
        <f>Raw_Data!C618</f>
        <v>553.50494119999996</v>
      </c>
    </row>
    <row r="619" spans="1:6" thickTop="1" thickBot="1" x14ac:dyDescent="0.35">
      <c r="A619" s="5">
        <f>Raw_Data!D619</f>
        <v>44572</v>
      </c>
      <c r="B619" s="4">
        <f>YEAR(A619)</f>
        <v>2022</v>
      </c>
      <c r="C619" s="4" t="str">
        <f>TEXT(A619,"mmmm")</f>
        <v>January</v>
      </c>
      <c r="D619" s="4">
        <f>Raw_Data!A619</f>
        <v>40</v>
      </c>
      <c r="E619" s="4" t="str">
        <f>Raw_Data!B619</f>
        <v>b</v>
      </c>
      <c r="F619" s="4">
        <f>Raw_Data!C619</f>
        <v>424.90741559999998</v>
      </c>
    </row>
    <row r="620" spans="1:6" thickTop="1" thickBot="1" x14ac:dyDescent="0.35">
      <c r="A620" s="5">
        <f>Raw_Data!D620</f>
        <v>44677</v>
      </c>
      <c r="B620" s="4">
        <f>YEAR(A620)</f>
        <v>2022</v>
      </c>
      <c r="C620" s="4" t="str">
        <f>TEXT(A620,"mmmm")</f>
        <v>April</v>
      </c>
      <c r="D620" s="4">
        <f>Raw_Data!A620</f>
        <v>2</v>
      </c>
      <c r="E620" s="4" t="str">
        <f>Raw_Data!B620</f>
        <v>h</v>
      </c>
      <c r="F620" s="4">
        <f>Raw_Data!C620</f>
        <v>395.22230999999999</v>
      </c>
    </row>
    <row r="621" spans="1:6" thickTop="1" thickBot="1" x14ac:dyDescent="0.35">
      <c r="A621" s="5">
        <f>Raw_Data!D621</f>
        <v>44877</v>
      </c>
      <c r="B621" s="4">
        <f>YEAR(A621)</f>
        <v>2022</v>
      </c>
      <c r="C621" s="4" t="str">
        <f>TEXT(A621,"mmmm")</f>
        <v>November</v>
      </c>
      <c r="D621" s="4">
        <f>Raw_Data!A621</f>
        <v>65</v>
      </c>
      <c r="E621" s="4" t="str">
        <f>Raw_Data!B621</f>
        <v>h</v>
      </c>
      <c r="F621" s="4">
        <f>Raw_Data!C621</f>
        <v>279.94806610000001</v>
      </c>
    </row>
    <row r="622" spans="1:6" thickTop="1" thickBot="1" x14ac:dyDescent="0.35">
      <c r="A622" s="5">
        <f>Raw_Data!D622</f>
        <v>44780</v>
      </c>
      <c r="B622" s="4">
        <f>YEAR(A622)</f>
        <v>2022</v>
      </c>
      <c r="C622" s="4" t="str">
        <f>TEXT(A622,"mmmm")</f>
        <v>August</v>
      </c>
      <c r="D622" s="4">
        <f>Raw_Data!A622</f>
        <v>73</v>
      </c>
      <c r="E622" s="4" t="str">
        <f>Raw_Data!B622</f>
        <v>a</v>
      </c>
      <c r="F622" s="4">
        <f>Raw_Data!C622</f>
        <v>585.08171170000003</v>
      </c>
    </row>
    <row r="623" spans="1:6" thickTop="1" thickBot="1" x14ac:dyDescent="0.35">
      <c r="A623" s="5">
        <f>Raw_Data!D623</f>
        <v>44570</v>
      </c>
      <c r="B623" s="4">
        <f>YEAR(A623)</f>
        <v>2022</v>
      </c>
      <c r="C623" s="4" t="str">
        <f>TEXT(A623,"mmmm")</f>
        <v>January</v>
      </c>
      <c r="D623" s="4">
        <f>Raw_Data!A623</f>
        <v>7</v>
      </c>
      <c r="E623" s="4" t="str">
        <f>Raw_Data!B623</f>
        <v>g</v>
      </c>
      <c r="F623" s="4">
        <f>Raw_Data!C623</f>
        <v>524.11865079999995</v>
      </c>
    </row>
    <row r="624" spans="1:6" thickTop="1" thickBot="1" x14ac:dyDescent="0.35">
      <c r="A624" s="5">
        <f>Raw_Data!D624</f>
        <v>44811</v>
      </c>
      <c r="B624" s="4">
        <f>YEAR(A624)</f>
        <v>2022</v>
      </c>
      <c r="C624" s="4" t="str">
        <f>TEXT(A624,"mmmm")</f>
        <v>September</v>
      </c>
      <c r="D624" s="4">
        <f>Raw_Data!A624</f>
        <v>77</v>
      </c>
      <c r="E624" s="4" t="str">
        <f>Raw_Data!B624</f>
        <v>b</v>
      </c>
      <c r="F624" s="4">
        <f>Raw_Data!C624</f>
        <v>526.91967639999996</v>
      </c>
    </row>
    <row r="625" spans="1:6" thickTop="1" thickBot="1" x14ac:dyDescent="0.35">
      <c r="A625" s="5">
        <f>Raw_Data!D625</f>
        <v>44854</v>
      </c>
      <c r="B625" s="4">
        <f>YEAR(A625)</f>
        <v>2022</v>
      </c>
      <c r="C625" s="4" t="str">
        <f>TEXT(A625,"mmmm")</f>
        <v>October</v>
      </c>
      <c r="D625" s="4">
        <f>Raw_Data!A625</f>
        <v>29</v>
      </c>
      <c r="E625" s="4" t="str">
        <f>Raw_Data!B625</f>
        <v>j</v>
      </c>
      <c r="F625" s="4">
        <f>Raw_Data!C625</f>
        <v>662.45366630000001</v>
      </c>
    </row>
    <row r="626" spans="1:6" thickTop="1" thickBot="1" x14ac:dyDescent="0.35">
      <c r="A626" s="5">
        <f>Raw_Data!D626</f>
        <v>44571</v>
      </c>
      <c r="B626" s="4">
        <f>YEAR(A626)</f>
        <v>2022</v>
      </c>
      <c r="C626" s="4" t="str">
        <f>TEXT(A626,"mmmm")</f>
        <v>January</v>
      </c>
      <c r="D626" s="4">
        <f>Raw_Data!A626</f>
        <v>20</v>
      </c>
      <c r="E626" s="4" t="str">
        <f>Raw_Data!B626</f>
        <v>f</v>
      </c>
      <c r="F626" s="4">
        <f>Raw_Data!C626</f>
        <v>382.24642219999998</v>
      </c>
    </row>
    <row r="627" spans="1:6" thickTop="1" thickBot="1" x14ac:dyDescent="0.35">
      <c r="A627" s="5">
        <f>Raw_Data!D627</f>
        <v>44643</v>
      </c>
      <c r="B627" s="4">
        <f>YEAR(A627)</f>
        <v>2022</v>
      </c>
      <c r="C627" s="4" t="str">
        <f>TEXT(A627,"mmmm")</f>
        <v>March</v>
      </c>
      <c r="D627" s="4">
        <f>Raw_Data!A627</f>
        <v>78</v>
      </c>
      <c r="E627" s="4" t="str">
        <f>Raw_Data!B627</f>
        <v>d</v>
      </c>
      <c r="F627" s="4">
        <f>Raw_Data!C627</f>
        <v>445.4937784</v>
      </c>
    </row>
    <row r="628" spans="1:6" thickTop="1" thickBot="1" x14ac:dyDescent="0.35">
      <c r="A628" s="5">
        <f>Raw_Data!D628</f>
        <v>44916</v>
      </c>
      <c r="B628" s="4">
        <f>YEAR(A628)</f>
        <v>2022</v>
      </c>
      <c r="C628" s="4" t="str">
        <f>TEXT(A628,"mmmm")</f>
        <v>December</v>
      </c>
      <c r="D628" s="4">
        <f>Raw_Data!A628</f>
        <v>80</v>
      </c>
      <c r="E628" s="4" t="str">
        <f>Raw_Data!B628</f>
        <v>f</v>
      </c>
      <c r="F628" s="4">
        <f>Raw_Data!C628</f>
        <v>419.02241959999998</v>
      </c>
    </row>
    <row r="629" spans="1:6" thickTop="1" thickBot="1" x14ac:dyDescent="0.35">
      <c r="A629" s="5">
        <f>Raw_Data!D629</f>
        <v>44645</v>
      </c>
      <c r="B629" s="4">
        <f>YEAR(A629)</f>
        <v>2022</v>
      </c>
      <c r="C629" s="4" t="str">
        <f>TEXT(A629,"mmmm")</f>
        <v>March</v>
      </c>
      <c r="D629" s="4">
        <f>Raw_Data!A629</f>
        <v>7</v>
      </c>
      <c r="E629" s="4" t="str">
        <f>Raw_Data!B629</f>
        <v>j</v>
      </c>
      <c r="F629" s="4">
        <f>Raw_Data!C629</f>
        <v>488.1484074</v>
      </c>
    </row>
    <row r="630" spans="1:6" thickTop="1" thickBot="1" x14ac:dyDescent="0.35">
      <c r="A630" s="5">
        <f>Raw_Data!D630</f>
        <v>44764</v>
      </c>
      <c r="B630" s="4">
        <f>YEAR(A630)</f>
        <v>2022</v>
      </c>
      <c r="C630" s="4" t="str">
        <f>TEXT(A630,"mmmm")</f>
        <v>July</v>
      </c>
      <c r="D630" s="4">
        <f>Raw_Data!A630</f>
        <v>100</v>
      </c>
      <c r="E630" s="4" t="str">
        <f>Raw_Data!B630</f>
        <v>c</v>
      </c>
      <c r="F630" s="4">
        <f>Raw_Data!C630</f>
        <v>724.36708499999997</v>
      </c>
    </row>
    <row r="631" spans="1:6" thickTop="1" thickBot="1" x14ac:dyDescent="0.35">
      <c r="A631" s="5">
        <f>Raw_Data!D631</f>
        <v>44793</v>
      </c>
      <c r="B631" s="4">
        <f>YEAR(A631)</f>
        <v>2022</v>
      </c>
      <c r="C631" s="4" t="str">
        <f>TEXT(A631,"mmmm")</f>
        <v>August</v>
      </c>
      <c r="D631" s="4">
        <f>Raw_Data!A631</f>
        <v>45</v>
      </c>
      <c r="E631" s="4" t="str">
        <f>Raw_Data!B631</f>
        <v>f</v>
      </c>
      <c r="F631" s="4">
        <f>Raw_Data!C631</f>
        <v>610.53080539999996</v>
      </c>
    </row>
    <row r="632" spans="1:6" thickTop="1" thickBot="1" x14ac:dyDescent="0.35">
      <c r="A632" s="5">
        <f>Raw_Data!D632</f>
        <v>44588</v>
      </c>
      <c r="B632" s="4">
        <f>YEAR(A632)</f>
        <v>2022</v>
      </c>
      <c r="C632" s="4" t="str">
        <f>TEXT(A632,"mmmm")</f>
        <v>January</v>
      </c>
      <c r="D632" s="4">
        <f>Raw_Data!A632</f>
        <v>76</v>
      </c>
      <c r="E632" s="4" t="str">
        <f>Raw_Data!B632</f>
        <v>i</v>
      </c>
      <c r="F632" s="4">
        <f>Raw_Data!C632</f>
        <v>409.25803789999998</v>
      </c>
    </row>
    <row r="633" spans="1:6" thickTop="1" thickBot="1" x14ac:dyDescent="0.35">
      <c r="A633" s="5">
        <f>Raw_Data!D633</f>
        <v>44788</v>
      </c>
      <c r="B633" s="4">
        <f>YEAR(A633)</f>
        <v>2022</v>
      </c>
      <c r="C633" s="4" t="str">
        <f>TEXT(A633,"mmmm")</f>
        <v>August</v>
      </c>
      <c r="D633" s="4">
        <f>Raw_Data!A633</f>
        <v>25</v>
      </c>
      <c r="E633" s="4" t="str">
        <f>Raw_Data!B633</f>
        <v>h</v>
      </c>
      <c r="F633" s="4">
        <f>Raw_Data!C633</f>
        <v>561.00632910000002</v>
      </c>
    </row>
    <row r="634" spans="1:6" thickTop="1" thickBot="1" x14ac:dyDescent="0.35">
      <c r="A634" s="5">
        <f>Raw_Data!D634</f>
        <v>44898</v>
      </c>
      <c r="B634" s="4">
        <f>YEAR(A634)</f>
        <v>2022</v>
      </c>
      <c r="C634" s="4" t="str">
        <f>TEXT(A634,"mmmm")</f>
        <v>December</v>
      </c>
      <c r="D634" s="4">
        <f>Raw_Data!A634</f>
        <v>91</v>
      </c>
      <c r="E634" s="4" t="str">
        <f>Raw_Data!B634</f>
        <v>i</v>
      </c>
      <c r="F634" s="4">
        <f>Raw_Data!C634</f>
        <v>391.65818289999999</v>
      </c>
    </row>
    <row r="635" spans="1:6" thickTop="1" thickBot="1" x14ac:dyDescent="0.35">
      <c r="A635" s="5">
        <f>Raw_Data!D635</f>
        <v>44851</v>
      </c>
      <c r="B635" s="4">
        <f>YEAR(A635)</f>
        <v>2022</v>
      </c>
      <c r="C635" s="4" t="str">
        <f>TEXT(A635,"mmmm")</f>
        <v>October</v>
      </c>
      <c r="D635" s="4">
        <f>Raw_Data!A635</f>
        <v>13</v>
      </c>
      <c r="E635" s="4" t="str">
        <f>Raw_Data!B635</f>
        <v>g</v>
      </c>
      <c r="F635" s="4">
        <f>Raw_Data!C635</f>
        <v>404.0796947</v>
      </c>
    </row>
    <row r="636" spans="1:6" thickTop="1" thickBot="1" x14ac:dyDescent="0.35">
      <c r="A636" s="5">
        <f>Raw_Data!D636</f>
        <v>44648</v>
      </c>
      <c r="B636" s="4">
        <f>YEAR(A636)</f>
        <v>2022</v>
      </c>
      <c r="C636" s="4" t="str">
        <f>TEXT(A636,"mmmm")</f>
        <v>March</v>
      </c>
      <c r="D636" s="4">
        <f>Raw_Data!A636</f>
        <v>84</v>
      </c>
      <c r="E636" s="4" t="str">
        <f>Raw_Data!B636</f>
        <v>c</v>
      </c>
      <c r="F636" s="4">
        <f>Raw_Data!C636</f>
        <v>564.33935010000005</v>
      </c>
    </row>
    <row r="637" spans="1:6" thickTop="1" thickBot="1" x14ac:dyDescent="0.35">
      <c r="A637" s="5">
        <f>Raw_Data!D637</f>
        <v>44596</v>
      </c>
      <c r="B637" s="4">
        <f>YEAR(A637)</f>
        <v>2022</v>
      </c>
      <c r="C637" s="4" t="str">
        <f>TEXT(A637,"mmmm")</f>
        <v>February</v>
      </c>
      <c r="D637" s="4">
        <f>Raw_Data!A637</f>
        <v>10</v>
      </c>
      <c r="E637" s="4" t="str">
        <f>Raw_Data!B637</f>
        <v>h</v>
      </c>
      <c r="F637" s="4">
        <f>Raw_Data!C637</f>
        <v>605.95977900000003</v>
      </c>
    </row>
    <row r="638" spans="1:6" thickTop="1" thickBot="1" x14ac:dyDescent="0.35">
      <c r="A638" s="5">
        <f>Raw_Data!D638</f>
        <v>44868</v>
      </c>
      <c r="B638" s="4">
        <f>YEAR(A638)</f>
        <v>2022</v>
      </c>
      <c r="C638" s="4" t="str">
        <f>TEXT(A638,"mmmm")</f>
        <v>November</v>
      </c>
      <c r="D638" s="4">
        <f>Raw_Data!A638</f>
        <v>94</v>
      </c>
      <c r="E638" s="4" t="str">
        <f>Raw_Data!B638</f>
        <v>j</v>
      </c>
      <c r="F638" s="4">
        <f>Raw_Data!C638</f>
        <v>468.78337950000002</v>
      </c>
    </row>
    <row r="639" spans="1:6" thickTop="1" thickBot="1" x14ac:dyDescent="0.35">
      <c r="A639" s="5">
        <f>Raw_Data!D639</f>
        <v>44718</v>
      </c>
      <c r="B639" s="4">
        <f>YEAR(A639)</f>
        <v>2022</v>
      </c>
      <c r="C639" s="4" t="str">
        <f>TEXT(A639,"mmmm")</f>
        <v>June</v>
      </c>
      <c r="D639" s="4">
        <f>Raw_Data!A639</f>
        <v>41</v>
      </c>
      <c r="E639" s="4" t="str">
        <f>Raw_Data!B639</f>
        <v>b</v>
      </c>
      <c r="F639" s="4">
        <f>Raw_Data!C639</f>
        <v>311.82051189999999</v>
      </c>
    </row>
    <row r="640" spans="1:6" thickTop="1" thickBot="1" x14ac:dyDescent="0.35">
      <c r="A640" s="5">
        <f>Raw_Data!D640</f>
        <v>44653</v>
      </c>
      <c r="B640" s="4">
        <f>YEAR(A640)</f>
        <v>2022</v>
      </c>
      <c r="C640" s="4" t="str">
        <f>TEXT(A640,"mmmm")</f>
        <v>April</v>
      </c>
      <c r="D640" s="4">
        <f>Raw_Data!A640</f>
        <v>12</v>
      </c>
      <c r="E640" s="4" t="str">
        <f>Raw_Data!B640</f>
        <v>h</v>
      </c>
      <c r="F640" s="4">
        <f>Raw_Data!C640</f>
        <v>555.17466439999998</v>
      </c>
    </row>
    <row r="641" spans="1:6" thickTop="1" thickBot="1" x14ac:dyDescent="0.35">
      <c r="A641" s="5">
        <f>Raw_Data!D641</f>
        <v>44872</v>
      </c>
      <c r="B641" s="4">
        <f>YEAR(A641)</f>
        <v>2022</v>
      </c>
      <c r="C641" s="4" t="str">
        <f>TEXT(A641,"mmmm")</f>
        <v>November</v>
      </c>
      <c r="D641" s="4">
        <f>Raw_Data!A641</f>
        <v>8</v>
      </c>
      <c r="E641" s="4" t="str">
        <f>Raw_Data!B641</f>
        <v>h</v>
      </c>
      <c r="F641" s="4">
        <f>Raw_Data!C641</f>
        <v>537.96580259999996</v>
      </c>
    </row>
    <row r="642" spans="1:6" thickTop="1" thickBot="1" x14ac:dyDescent="0.35">
      <c r="A642" s="5">
        <f>Raw_Data!D642</f>
        <v>44731</v>
      </c>
      <c r="B642" s="4">
        <f>YEAR(A642)</f>
        <v>2022</v>
      </c>
      <c r="C642" s="4" t="str">
        <f>TEXT(A642,"mmmm")</f>
        <v>June</v>
      </c>
      <c r="D642" s="4">
        <f>Raw_Data!A642</f>
        <v>71</v>
      </c>
      <c r="E642" s="4" t="str">
        <f>Raw_Data!B642</f>
        <v>h</v>
      </c>
      <c r="F642" s="4">
        <f>Raw_Data!C642</f>
        <v>574.67497349999996</v>
      </c>
    </row>
    <row r="643" spans="1:6" thickTop="1" thickBot="1" x14ac:dyDescent="0.35">
      <c r="A643" s="5">
        <f>Raw_Data!D643</f>
        <v>44741</v>
      </c>
      <c r="B643" s="4">
        <f>YEAR(A643)</f>
        <v>2022</v>
      </c>
      <c r="C643" s="4" t="str">
        <f>TEXT(A643,"mmmm")</f>
        <v>June</v>
      </c>
      <c r="D643" s="4">
        <f>Raw_Data!A643</f>
        <v>15</v>
      </c>
      <c r="E643" s="4" t="str">
        <f>Raw_Data!B643</f>
        <v>b</v>
      </c>
      <c r="F643" s="4">
        <f>Raw_Data!C643</f>
        <v>344.83271180000003</v>
      </c>
    </row>
    <row r="644" spans="1:6" thickTop="1" thickBot="1" x14ac:dyDescent="0.35">
      <c r="A644" s="5">
        <f>Raw_Data!D644</f>
        <v>44745</v>
      </c>
      <c r="B644" s="4">
        <f>YEAR(A644)</f>
        <v>2022</v>
      </c>
      <c r="C644" s="4" t="str">
        <f>TEXT(A644,"mmmm")</f>
        <v>July</v>
      </c>
      <c r="D644" s="4">
        <f>Raw_Data!A644</f>
        <v>83</v>
      </c>
      <c r="E644" s="4" t="str">
        <f>Raw_Data!B644</f>
        <v>a</v>
      </c>
      <c r="F644" s="4">
        <f>Raw_Data!C644</f>
        <v>616.01771759999997</v>
      </c>
    </row>
    <row r="645" spans="1:6" thickTop="1" thickBot="1" x14ac:dyDescent="0.35">
      <c r="A645" s="5">
        <f>Raw_Data!D645</f>
        <v>44894</v>
      </c>
      <c r="B645" s="4">
        <f>YEAR(A645)</f>
        <v>2022</v>
      </c>
      <c r="C645" s="4" t="str">
        <f>TEXT(A645,"mmmm")</f>
        <v>November</v>
      </c>
      <c r="D645" s="4">
        <f>Raw_Data!A645</f>
        <v>49</v>
      </c>
      <c r="E645" s="4" t="str">
        <f>Raw_Data!B645</f>
        <v>i</v>
      </c>
      <c r="F645" s="4">
        <f>Raw_Data!C645</f>
        <v>527.87136729999997</v>
      </c>
    </row>
    <row r="646" spans="1:6" thickTop="1" thickBot="1" x14ac:dyDescent="0.35">
      <c r="A646" s="5">
        <f>Raw_Data!D646</f>
        <v>44674</v>
      </c>
      <c r="B646" s="4">
        <f>YEAR(A646)</f>
        <v>2022</v>
      </c>
      <c r="C646" s="4" t="str">
        <f>TEXT(A646,"mmmm")</f>
        <v>April</v>
      </c>
      <c r="D646" s="4">
        <f>Raw_Data!A646</f>
        <v>39</v>
      </c>
      <c r="E646" s="4" t="str">
        <f>Raw_Data!B646</f>
        <v>e</v>
      </c>
      <c r="F646" s="4">
        <f>Raw_Data!C646</f>
        <v>334.05707339999998</v>
      </c>
    </row>
    <row r="647" spans="1:6" thickTop="1" thickBot="1" x14ac:dyDescent="0.35">
      <c r="A647" s="5">
        <f>Raw_Data!D647</f>
        <v>44643</v>
      </c>
      <c r="B647" s="4">
        <f>YEAR(A647)</f>
        <v>2022</v>
      </c>
      <c r="C647" s="4" t="str">
        <f>TEXT(A647,"mmmm")</f>
        <v>March</v>
      </c>
      <c r="D647" s="4">
        <f>Raw_Data!A647</f>
        <v>87</v>
      </c>
      <c r="E647" s="4" t="str">
        <f>Raw_Data!B647</f>
        <v>g</v>
      </c>
      <c r="F647" s="4">
        <f>Raw_Data!C647</f>
        <v>500.47565809999998</v>
      </c>
    </row>
    <row r="648" spans="1:6" thickTop="1" thickBot="1" x14ac:dyDescent="0.35">
      <c r="A648" s="5">
        <f>Raw_Data!D648</f>
        <v>44715</v>
      </c>
      <c r="B648" s="4">
        <f>YEAR(A648)</f>
        <v>2022</v>
      </c>
      <c r="C648" s="4" t="str">
        <f>TEXT(A648,"mmmm")</f>
        <v>June</v>
      </c>
      <c r="D648" s="4">
        <f>Raw_Data!A648</f>
        <v>35</v>
      </c>
      <c r="E648" s="4" t="str">
        <f>Raw_Data!B648</f>
        <v>c</v>
      </c>
      <c r="F648" s="4">
        <f>Raw_Data!C648</f>
        <v>511.81524200000001</v>
      </c>
    </row>
    <row r="649" spans="1:6" thickTop="1" thickBot="1" x14ac:dyDescent="0.35">
      <c r="A649" s="5">
        <f>Raw_Data!D649</f>
        <v>44659</v>
      </c>
      <c r="B649" s="4">
        <f>YEAR(A649)</f>
        <v>2022</v>
      </c>
      <c r="C649" s="4" t="str">
        <f>TEXT(A649,"mmmm")</f>
        <v>April</v>
      </c>
      <c r="D649" s="4">
        <f>Raw_Data!A649</f>
        <v>6</v>
      </c>
      <c r="E649" s="4" t="str">
        <f>Raw_Data!B649</f>
        <v>f</v>
      </c>
      <c r="F649" s="4">
        <f>Raw_Data!C649</f>
        <v>598.54456860000005</v>
      </c>
    </row>
    <row r="650" spans="1:6" thickTop="1" thickBot="1" x14ac:dyDescent="0.35">
      <c r="A650" s="5">
        <f>Raw_Data!D650</f>
        <v>44660</v>
      </c>
      <c r="B650" s="4">
        <f>YEAR(A650)</f>
        <v>2022</v>
      </c>
      <c r="C650" s="4" t="str">
        <f>TEXT(A650,"mmmm")</f>
        <v>April</v>
      </c>
      <c r="D650" s="4">
        <f>Raw_Data!A650</f>
        <v>71</v>
      </c>
      <c r="E650" s="4" t="str">
        <f>Raw_Data!B650</f>
        <v>h</v>
      </c>
      <c r="F650" s="4">
        <f>Raw_Data!C650</f>
        <v>337.10508049999999</v>
      </c>
    </row>
    <row r="651" spans="1:6" thickTop="1" thickBot="1" x14ac:dyDescent="0.35">
      <c r="A651" s="5">
        <f>Raw_Data!D651</f>
        <v>44727</v>
      </c>
      <c r="B651" s="4">
        <f>YEAR(A651)</f>
        <v>2022</v>
      </c>
      <c r="C651" s="4" t="str">
        <f>TEXT(A651,"mmmm")</f>
        <v>June</v>
      </c>
      <c r="D651" s="4">
        <f>Raw_Data!A651</f>
        <v>4</v>
      </c>
      <c r="E651" s="4" t="str">
        <f>Raw_Data!B651</f>
        <v>i</v>
      </c>
      <c r="F651" s="4">
        <f>Raw_Data!C651</f>
        <v>593.99252980000006</v>
      </c>
    </row>
    <row r="652" spans="1:6" thickTop="1" thickBot="1" x14ac:dyDescent="0.35">
      <c r="A652" s="5">
        <f>Raw_Data!D652</f>
        <v>44823</v>
      </c>
      <c r="B652" s="4">
        <f>YEAR(A652)</f>
        <v>2022</v>
      </c>
      <c r="C652" s="4" t="str">
        <f>TEXT(A652,"mmmm")</f>
        <v>September</v>
      </c>
      <c r="D652" s="4">
        <f>Raw_Data!A652</f>
        <v>74</v>
      </c>
      <c r="E652" s="4" t="str">
        <f>Raw_Data!B652</f>
        <v>c</v>
      </c>
      <c r="F652" s="4">
        <f>Raw_Data!C652</f>
        <v>501.27289780000001</v>
      </c>
    </row>
    <row r="653" spans="1:6" thickTop="1" thickBot="1" x14ac:dyDescent="0.35">
      <c r="A653" s="5">
        <f>Raw_Data!D653</f>
        <v>44908</v>
      </c>
      <c r="B653" s="4">
        <f>YEAR(A653)</f>
        <v>2022</v>
      </c>
      <c r="C653" s="4" t="str">
        <f>TEXT(A653,"mmmm")</f>
        <v>December</v>
      </c>
      <c r="D653" s="4">
        <f>Raw_Data!A653</f>
        <v>81</v>
      </c>
      <c r="E653" s="4" t="str">
        <f>Raw_Data!B653</f>
        <v>a</v>
      </c>
      <c r="F653" s="4">
        <f>Raw_Data!C653</f>
        <v>531.55819380000003</v>
      </c>
    </row>
    <row r="654" spans="1:6" thickTop="1" thickBot="1" x14ac:dyDescent="0.35">
      <c r="A654" s="5">
        <f>Raw_Data!D654</f>
        <v>44675</v>
      </c>
      <c r="B654" s="4">
        <f>YEAR(A654)</f>
        <v>2022</v>
      </c>
      <c r="C654" s="4" t="str">
        <f>TEXT(A654,"mmmm")</f>
        <v>April</v>
      </c>
      <c r="D654" s="4">
        <f>Raw_Data!A654</f>
        <v>48</v>
      </c>
      <c r="E654" s="4" t="str">
        <f>Raw_Data!B654</f>
        <v>h</v>
      </c>
      <c r="F654" s="4">
        <f>Raw_Data!C654</f>
        <v>423.53770589999999</v>
      </c>
    </row>
    <row r="655" spans="1:6" thickTop="1" thickBot="1" x14ac:dyDescent="0.35">
      <c r="A655" s="5">
        <f>Raw_Data!D655</f>
        <v>44662</v>
      </c>
      <c r="B655" s="4">
        <f>YEAR(A655)</f>
        <v>2022</v>
      </c>
      <c r="C655" s="4" t="str">
        <f>TEXT(A655,"mmmm")</f>
        <v>April</v>
      </c>
      <c r="D655" s="4">
        <f>Raw_Data!A655</f>
        <v>8</v>
      </c>
      <c r="E655" s="4" t="str">
        <f>Raw_Data!B655</f>
        <v>g</v>
      </c>
      <c r="F655" s="4">
        <f>Raw_Data!C655</f>
        <v>463.28268120000001</v>
      </c>
    </row>
    <row r="656" spans="1:6" thickTop="1" thickBot="1" x14ac:dyDescent="0.35">
      <c r="A656" s="5">
        <f>Raw_Data!D656</f>
        <v>44575</v>
      </c>
      <c r="B656" s="4">
        <f>YEAR(A656)</f>
        <v>2022</v>
      </c>
      <c r="C656" s="4" t="str">
        <f>TEXT(A656,"mmmm")</f>
        <v>January</v>
      </c>
      <c r="D656" s="4">
        <f>Raw_Data!A656</f>
        <v>53</v>
      </c>
      <c r="E656" s="4" t="str">
        <f>Raw_Data!B656</f>
        <v>e</v>
      </c>
      <c r="F656" s="4">
        <f>Raw_Data!C656</f>
        <v>474.8443173</v>
      </c>
    </row>
    <row r="657" spans="1:6" thickTop="1" thickBot="1" x14ac:dyDescent="0.35">
      <c r="A657" s="5">
        <f>Raw_Data!D657</f>
        <v>44835</v>
      </c>
      <c r="B657" s="4">
        <f>YEAR(A657)</f>
        <v>2022</v>
      </c>
      <c r="C657" s="4" t="str">
        <f>TEXT(A657,"mmmm")</f>
        <v>October</v>
      </c>
      <c r="D657" s="4">
        <f>Raw_Data!A657</f>
        <v>67</v>
      </c>
      <c r="E657" s="4" t="str">
        <f>Raw_Data!B657</f>
        <v>c</v>
      </c>
      <c r="F657" s="4">
        <f>Raw_Data!C657</f>
        <v>431.88079820000002</v>
      </c>
    </row>
    <row r="658" spans="1:6" thickTop="1" thickBot="1" x14ac:dyDescent="0.35">
      <c r="A658" s="5">
        <f>Raw_Data!D658</f>
        <v>44757</v>
      </c>
      <c r="B658" s="4">
        <f>YEAR(A658)</f>
        <v>2022</v>
      </c>
      <c r="C658" s="4" t="str">
        <f>TEXT(A658,"mmmm")</f>
        <v>July</v>
      </c>
      <c r="D658" s="4">
        <f>Raw_Data!A658</f>
        <v>53</v>
      </c>
      <c r="E658" s="4" t="str">
        <f>Raw_Data!B658</f>
        <v>g</v>
      </c>
      <c r="F658" s="4">
        <f>Raw_Data!C658</f>
        <v>482.94961410000002</v>
      </c>
    </row>
    <row r="659" spans="1:6" thickTop="1" thickBot="1" x14ac:dyDescent="0.35">
      <c r="A659" s="5">
        <f>Raw_Data!D659</f>
        <v>44656</v>
      </c>
      <c r="B659" s="4">
        <f>YEAR(A659)</f>
        <v>2022</v>
      </c>
      <c r="C659" s="4" t="str">
        <f>TEXT(A659,"mmmm")</f>
        <v>April</v>
      </c>
      <c r="D659" s="4">
        <f>Raw_Data!A659</f>
        <v>14</v>
      </c>
      <c r="E659" s="4" t="str">
        <f>Raw_Data!B659</f>
        <v>d</v>
      </c>
      <c r="F659" s="4">
        <f>Raw_Data!C659</f>
        <v>477.0022755</v>
      </c>
    </row>
    <row r="660" spans="1:6" thickTop="1" thickBot="1" x14ac:dyDescent="0.35">
      <c r="A660" s="5">
        <f>Raw_Data!D660</f>
        <v>44834</v>
      </c>
      <c r="B660" s="4">
        <f>YEAR(A660)</f>
        <v>2022</v>
      </c>
      <c r="C660" s="4" t="str">
        <f>TEXT(A660,"mmmm")</f>
        <v>September</v>
      </c>
      <c r="D660" s="4">
        <f>Raw_Data!A660</f>
        <v>28</v>
      </c>
      <c r="E660" s="4" t="str">
        <f>Raw_Data!B660</f>
        <v>i</v>
      </c>
      <c r="F660" s="4">
        <f>Raw_Data!C660</f>
        <v>442.02714939999998</v>
      </c>
    </row>
    <row r="661" spans="1:6" thickTop="1" thickBot="1" x14ac:dyDescent="0.35">
      <c r="A661" s="5">
        <f>Raw_Data!D661</f>
        <v>44753</v>
      </c>
      <c r="B661" s="4">
        <f>YEAR(A661)</f>
        <v>2022</v>
      </c>
      <c r="C661" s="4" t="str">
        <f>TEXT(A661,"mmmm")</f>
        <v>July</v>
      </c>
      <c r="D661" s="4">
        <f>Raw_Data!A661</f>
        <v>6</v>
      </c>
      <c r="E661" s="4" t="str">
        <f>Raw_Data!B661</f>
        <v>e</v>
      </c>
      <c r="F661" s="4">
        <f>Raw_Data!C661</f>
        <v>513.17782550000004</v>
      </c>
    </row>
    <row r="662" spans="1:6" thickTop="1" thickBot="1" x14ac:dyDescent="0.35">
      <c r="A662" s="5">
        <f>Raw_Data!D662</f>
        <v>44705</v>
      </c>
      <c r="B662" s="4">
        <f>YEAR(A662)</f>
        <v>2022</v>
      </c>
      <c r="C662" s="4" t="str">
        <f>TEXT(A662,"mmmm")</f>
        <v>May</v>
      </c>
      <c r="D662" s="4">
        <f>Raw_Data!A662</f>
        <v>9</v>
      </c>
      <c r="E662" s="4" t="str">
        <f>Raw_Data!B662</f>
        <v>i</v>
      </c>
      <c r="F662" s="4">
        <f>Raw_Data!C662</f>
        <v>653.85788119999995</v>
      </c>
    </row>
    <row r="663" spans="1:6" thickTop="1" thickBot="1" x14ac:dyDescent="0.35">
      <c r="A663" s="5">
        <f>Raw_Data!D663</f>
        <v>44861</v>
      </c>
      <c r="B663" s="4">
        <f>YEAR(A663)</f>
        <v>2022</v>
      </c>
      <c r="C663" s="4" t="str">
        <f>TEXT(A663,"mmmm")</f>
        <v>October</v>
      </c>
      <c r="D663" s="4">
        <f>Raw_Data!A663</f>
        <v>33</v>
      </c>
      <c r="E663" s="4" t="str">
        <f>Raw_Data!B663</f>
        <v>g</v>
      </c>
      <c r="F663" s="4">
        <f>Raw_Data!C663</f>
        <v>484.13686619999999</v>
      </c>
    </row>
    <row r="664" spans="1:6" thickTop="1" thickBot="1" x14ac:dyDescent="0.35">
      <c r="A664" s="5">
        <f>Raw_Data!D664</f>
        <v>44644</v>
      </c>
      <c r="B664" s="4">
        <f>YEAR(A664)</f>
        <v>2022</v>
      </c>
      <c r="C664" s="4" t="str">
        <f>TEXT(A664,"mmmm")</f>
        <v>March</v>
      </c>
      <c r="D664" s="4">
        <f>Raw_Data!A664</f>
        <v>46</v>
      </c>
      <c r="E664" s="4" t="str">
        <f>Raw_Data!B664</f>
        <v>i</v>
      </c>
      <c r="F664" s="4">
        <f>Raw_Data!C664</f>
        <v>320.92056220000001</v>
      </c>
    </row>
    <row r="665" spans="1:6" thickTop="1" thickBot="1" x14ac:dyDescent="0.35">
      <c r="A665" s="5">
        <f>Raw_Data!D665</f>
        <v>44817</v>
      </c>
      <c r="B665" s="4">
        <f>YEAR(A665)</f>
        <v>2022</v>
      </c>
      <c r="C665" s="4" t="str">
        <f>TEXT(A665,"mmmm")</f>
        <v>September</v>
      </c>
      <c r="D665" s="4">
        <f>Raw_Data!A665</f>
        <v>64</v>
      </c>
      <c r="E665" s="4" t="str">
        <f>Raw_Data!B665</f>
        <v>i</v>
      </c>
      <c r="F665" s="4">
        <f>Raw_Data!C665</f>
        <v>453.33469639999998</v>
      </c>
    </row>
    <row r="666" spans="1:6" thickTop="1" thickBot="1" x14ac:dyDescent="0.35">
      <c r="A666" s="5">
        <f>Raw_Data!D666</f>
        <v>44732</v>
      </c>
      <c r="B666" s="4">
        <f>YEAR(A666)</f>
        <v>2022</v>
      </c>
      <c r="C666" s="4" t="str">
        <f>TEXT(A666,"mmmm")</f>
        <v>June</v>
      </c>
      <c r="D666" s="4">
        <f>Raw_Data!A666</f>
        <v>19</v>
      </c>
      <c r="E666" s="4" t="str">
        <f>Raw_Data!B666</f>
        <v>g</v>
      </c>
      <c r="F666" s="4">
        <f>Raw_Data!C666</f>
        <v>587.53449160000002</v>
      </c>
    </row>
    <row r="667" spans="1:6" thickTop="1" thickBot="1" x14ac:dyDescent="0.35">
      <c r="A667" s="5">
        <f>Raw_Data!D667</f>
        <v>44674</v>
      </c>
      <c r="B667" s="4">
        <f>YEAR(A667)</f>
        <v>2022</v>
      </c>
      <c r="C667" s="4" t="str">
        <f>TEXT(A667,"mmmm")</f>
        <v>April</v>
      </c>
      <c r="D667" s="4">
        <f>Raw_Data!A667</f>
        <v>98</v>
      </c>
      <c r="E667" s="4" t="str">
        <f>Raw_Data!B667</f>
        <v>d</v>
      </c>
      <c r="F667" s="4">
        <f>Raw_Data!C667</f>
        <v>365.5394427</v>
      </c>
    </row>
    <row r="668" spans="1:6" thickTop="1" thickBot="1" x14ac:dyDescent="0.35">
      <c r="A668" s="5">
        <f>Raw_Data!D668</f>
        <v>44860</v>
      </c>
      <c r="B668" s="4">
        <f>YEAR(A668)</f>
        <v>2022</v>
      </c>
      <c r="C668" s="4" t="str">
        <f>TEXT(A668,"mmmm")</f>
        <v>October</v>
      </c>
      <c r="D668" s="4">
        <f>Raw_Data!A668</f>
        <v>1</v>
      </c>
      <c r="E668" s="4" t="str">
        <f>Raw_Data!B668</f>
        <v>c</v>
      </c>
      <c r="F668" s="4">
        <f>Raw_Data!C668</f>
        <v>406.31080530000003</v>
      </c>
    </row>
    <row r="669" spans="1:6" thickTop="1" thickBot="1" x14ac:dyDescent="0.35">
      <c r="A669" s="5">
        <f>Raw_Data!D669</f>
        <v>44684</v>
      </c>
      <c r="B669" s="4">
        <f>YEAR(A669)</f>
        <v>2022</v>
      </c>
      <c r="C669" s="4" t="str">
        <f>TEXT(A669,"mmmm")</f>
        <v>May</v>
      </c>
      <c r="D669" s="4">
        <f>Raw_Data!A669</f>
        <v>92</v>
      </c>
      <c r="E669" s="4" t="str">
        <f>Raw_Data!B669</f>
        <v>i</v>
      </c>
      <c r="F669" s="4">
        <f>Raw_Data!C669</f>
        <v>321.26716850000003</v>
      </c>
    </row>
    <row r="670" spans="1:6" thickTop="1" thickBot="1" x14ac:dyDescent="0.35">
      <c r="A670" s="5">
        <f>Raw_Data!D670</f>
        <v>44807</v>
      </c>
      <c r="B670" s="4">
        <f>YEAR(A670)</f>
        <v>2022</v>
      </c>
      <c r="C670" s="4" t="str">
        <f>TEXT(A670,"mmmm")</f>
        <v>September</v>
      </c>
      <c r="D670" s="4">
        <f>Raw_Data!A670</f>
        <v>52</v>
      </c>
      <c r="E670" s="4" t="str">
        <f>Raw_Data!B670</f>
        <v>b</v>
      </c>
      <c r="F670" s="4">
        <f>Raw_Data!C670</f>
        <v>592.1630073</v>
      </c>
    </row>
    <row r="671" spans="1:6" thickTop="1" thickBot="1" x14ac:dyDescent="0.35">
      <c r="A671" s="5">
        <f>Raw_Data!D671</f>
        <v>44656</v>
      </c>
      <c r="B671" s="4">
        <f>YEAR(A671)</f>
        <v>2022</v>
      </c>
      <c r="C671" s="4" t="str">
        <f>TEXT(A671,"mmmm")</f>
        <v>April</v>
      </c>
      <c r="D671" s="4">
        <f>Raw_Data!A671</f>
        <v>94</v>
      </c>
      <c r="E671" s="4" t="str">
        <f>Raw_Data!B671</f>
        <v>h</v>
      </c>
      <c r="F671" s="4">
        <f>Raw_Data!C671</f>
        <v>467.95058540000002</v>
      </c>
    </row>
    <row r="672" spans="1:6" thickTop="1" thickBot="1" x14ac:dyDescent="0.35">
      <c r="A672" s="5">
        <f>Raw_Data!D672</f>
        <v>44852</v>
      </c>
      <c r="B672" s="4">
        <f>YEAR(A672)</f>
        <v>2022</v>
      </c>
      <c r="C672" s="4" t="str">
        <f>TEXT(A672,"mmmm")</f>
        <v>October</v>
      </c>
      <c r="D672" s="4">
        <f>Raw_Data!A672</f>
        <v>68</v>
      </c>
      <c r="E672" s="4" t="str">
        <f>Raw_Data!B672</f>
        <v>a</v>
      </c>
      <c r="F672" s="4">
        <f>Raw_Data!C672</f>
        <v>639.81371730000001</v>
      </c>
    </row>
    <row r="673" spans="1:6" thickTop="1" thickBot="1" x14ac:dyDescent="0.35">
      <c r="A673" s="5">
        <f>Raw_Data!D673</f>
        <v>44667</v>
      </c>
      <c r="B673" s="4">
        <f>YEAR(A673)</f>
        <v>2022</v>
      </c>
      <c r="C673" s="4" t="str">
        <f>TEXT(A673,"mmmm")</f>
        <v>April</v>
      </c>
      <c r="D673" s="4">
        <f>Raw_Data!A673</f>
        <v>90</v>
      </c>
      <c r="E673" s="4" t="str">
        <f>Raw_Data!B673</f>
        <v>j</v>
      </c>
      <c r="F673" s="4">
        <f>Raw_Data!C673</f>
        <v>644.17777260000003</v>
      </c>
    </row>
    <row r="674" spans="1:6" thickTop="1" thickBot="1" x14ac:dyDescent="0.35">
      <c r="A674" s="5">
        <f>Raw_Data!D674</f>
        <v>44669</v>
      </c>
      <c r="B674" s="4">
        <f>YEAR(A674)</f>
        <v>2022</v>
      </c>
      <c r="C674" s="4" t="str">
        <f>TEXT(A674,"mmmm")</f>
        <v>April</v>
      </c>
      <c r="D674" s="4">
        <f>Raw_Data!A674</f>
        <v>75</v>
      </c>
      <c r="E674" s="4" t="str">
        <f>Raw_Data!B674</f>
        <v>g</v>
      </c>
      <c r="F674" s="4">
        <f>Raw_Data!C674</f>
        <v>520.48735050000005</v>
      </c>
    </row>
    <row r="675" spans="1:6" thickTop="1" thickBot="1" x14ac:dyDescent="0.35">
      <c r="A675" s="5">
        <f>Raw_Data!D675</f>
        <v>44714</v>
      </c>
      <c r="B675" s="4">
        <f>YEAR(A675)</f>
        <v>2022</v>
      </c>
      <c r="C675" s="4" t="str">
        <f>TEXT(A675,"mmmm")</f>
        <v>June</v>
      </c>
      <c r="D675" s="4">
        <f>Raw_Data!A675</f>
        <v>5</v>
      </c>
      <c r="E675" s="4" t="str">
        <f>Raw_Data!B675</f>
        <v>b</v>
      </c>
      <c r="F675" s="4">
        <f>Raw_Data!C675</f>
        <v>474.58211510000001</v>
      </c>
    </row>
    <row r="676" spans="1:6" thickTop="1" thickBot="1" x14ac:dyDescent="0.35">
      <c r="A676" s="5">
        <f>Raw_Data!D676</f>
        <v>44639</v>
      </c>
      <c r="B676" s="4">
        <f>YEAR(A676)</f>
        <v>2022</v>
      </c>
      <c r="C676" s="4" t="str">
        <f>TEXT(A676,"mmmm")</f>
        <v>March</v>
      </c>
      <c r="D676" s="4">
        <f>Raw_Data!A676</f>
        <v>100</v>
      </c>
      <c r="E676" s="4" t="str">
        <f>Raw_Data!B676</f>
        <v>j</v>
      </c>
      <c r="F676" s="4">
        <f>Raw_Data!C676</f>
        <v>482.67090530000002</v>
      </c>
    </row>
    <row r="677" spans="1:6" thickTop="1" thickBot="1" x14ac:dyDescent="0.35">
      <c r="A677" s="5">
        <f>Raw_Data!D677</f>
        <v>44704</v>
      </c>
      <c r="B677" s="4">
        <f>YEAR(A677)</f>
        <v>2022</v>
      </c>
      <c r="C677" s="4" t="str">
        <f>TEXT(A677,"mmmm")</f>
        <v>May</v>
      </c>
      <c r="D677" s="4">
        <f>Raw_Data!A677</f>
        <v>19</v>
      </c>
      <c r="E677" s="4" t="str">
        <f>Raw_Data!B677</f>
        <v>c</v>
      </c>
      <c r="F677" s="4">
        <f>Raw_Data!C677</f>
        <v>551.89058260000002</v>
      </c>
    </row>
    <row r="678" spans="1:6" thickTop="1" thickBot="1" x14ac:dyDescent="0.35">
      <c r="A678" s="5">
        <f>Raw_Data!D678</f>
        <v>44840</v>
      </c>
      <c r="B678" s="4">
        <f>YEAR(A678)</f>
        <v>2022</v>
      </c>
      <c r="C678" s="4" t="str">
        <f>TEXT(A678,"mmmm")</f>
        <v>October</v>
      </c>
      <c r="D678" s="4">
        <f>Raw_Data!A678</f>
        <v>35</v>
      </c>
      <c r="E678" s="4" t="str">
        <f>Raw_Data!B678</f>
        <v>b</v>
      </c>
      <c r="F678" s="4">
        <f>Raw_Data!C678</f>
        <v>605.15301209999996</v>
      </c>
    </row>
    <row r="679" spans="1:6" thickTop="1" thickBot="1" x14ac:dyDescent="0.35">
      <c r="A679" s="5">
        <f>Raw_Data!D679</f>
        <v>44689</v>
      </c>
      <c r="B679" s="4">
        <f>YEAR(A679)</f>
        <v>2022</v>
      </c>
      <c r="C679" s="4" t="str">
        <f>TEXT(A679,"mmmm")</f>
        <v>May</v>
      </c>
      <c r="D679" s="4">
        <f>Raw_Data!A679</f>
        <v>33</v>
      </c>
      <c r="E679" s="4" t="str">
        <f>Raw_Data!B679</f>
        <v>e</v>
      </c>
      <c r="F679" s="4">
        <f>Raw_Data!C679</f>
        <v>491.13801760000001</v>
      </c>
    </row>
    <row r="680" spans="1:6" thickTop="1" thickBot="1" x14ac:dyDescent="0.35">
      <c r="A680" s="5">
        <f>Raw_Data!D680</f>
        <v>44899</v>
      </c>
      <c r="B680" s="4">
        <f>YEAR(A680)</f>
        <v>2022</v>
      </c>
      <c r="C680" s="4" t="str">
        <f>TEXT(A680,"mmmm")</f>
        <v>December</v>
      </c>
      <c r="D680" s="4">
        <f>Raw_Data!A680</f>
        <v>69</v>
      </c>
      <c r="E680" s="4" t="str">
        <f>Raw_Data!B680</f>
        <v>h</v>
      </c>
      <c r="F680" s="4">
        <f>Raw_Data!C680</f>
        <v>656.16170499999998</v>
      </c>
    </row>
    <row r="681" spans="1:6" thickTop="1" thickBot="1" x14ac:dyDescent="0.35">
      <c r="A681" s="5">
        <f>Raw_Data!D681</f>
        <v>44860</v>
      </c>
      <c r="B681" s="4">
        <f>YEAR(A681)</f>
        <v>2022</v>
      </c>
      <c r="C681" s="4" t="str">
        <f>TEXT(A681,"mmmm")</f>
        <v>October</v>
      </c>
      <c r="D681" s="4">
        <f>Raw_Data!A681</f>
        <v>61</v>
      </c>
      <c r="E681" s="4" t="str">
        <f>Raw_Data!B681</f>
        <v>a</v>
      </c>
      <c r="F681" s="4">
        <f>Raw_Data!C681</f>
        <v>596.68930460000001</v>
      </c>
    </row>
    <row r="682" spans="1:6" thickTop="1" thickBot="1" x14ac:dyDescent="0.35">
      <c r="A682" s="5">
        <f>Raw_Data!D682</f>
        <v>44925</v>
      </c>
      <c r="B682" s="4">
        <f>YEAR(A682)</f>
        <v>2022</v>
      </c>
      <c r="C682" s="4" t="str">
        <f>TEXT(A682,"mmmm")</f>
        <v>December</v>
      </c>
      <c r="D682" s="4">
        <f>Raw_Data!A682</f>
        <v>23</v>
      </c>
      <c r="E682" s="4" t="str">
        <f>Raw_Data!B682</f>
        <v>a</v>
      </c>
      <c r="F682" s="4">
        <f>Raw_Data!C682</f>
        <v>494.99422820000001</v>
      </c>
    </row>
    <row r="683" spans="1:6" thickTop="1" thickBot="1" x14ac:dyDescent="0.35">
      <c r="A683" s="5">
        <f>Raw_Data!D683</f>
        <v>44822</v>
      </c>
      <c r="B683" s="4">
        <f>YEAR(A683)</f>
        <v>2022</v>
      </c>
      <c r="C683" s="4" t="str">
        <f>TEXT(A683,"mmmm")</f>
        <v>September</v>
      </c>
      <c r="D683" s="4">
        <f>Raw_Data!A683</f>
        <v>41</v>
      </c>
      <c r="E683" s="4" t="str">
        <f>Raw_Data!B683</f>
        <v>h</v>
      </c>
      <c r="F683" s="4">
        <f>Raw_Data!C683</f>
        <v>342.7745372</v>
      </c>
    </row>
    <row r="684" spans="1:6" thickTop="1" thickBot="1" x14ac:dyDescent="0.35">
      <c r="A684" s="5">
        <f>Raw_Data!D684</f>
        <v>44762</v>
      </c>
      <c r="B684" s="4">
        <f>YEAR(A684)</f>
        <v>2022</v>
      </c>
      <c r="C684" s="4" t="str">
        <f>TEXT(A684,"mmmm")</f>
        <v>July</v>
      </c>
      <c r="D684" s="4">
        <f>Raw_Data!A684</f>
        <v>89</v>
      </c>
      <c r="E684" s="4" t="str">
        <f>Raw_Data!B684</f>
        <v>b</v>
      </c>
      <c r="F684" s="4">
        <f>Raw_Data!C684</f>
        <v>467.75443960000001</v>
      </c>
    </row>
    <row r="685" spans="1:6" thickTop="1" thickBot="1" x14ac:dyDescent="0.35">
      <c r="A685" s="5">
        <f>Raw_Data!D685</f>
        <v>44604</v>
      </c>
      <c r="B685" s="4">
        <f>YEAR(A685)</f>
        <v>2022</v>
      </c>
      <c r="C685" s="4" t="str">
        <f>TEXT(A685,"mmmm")</f>
        <v>February</v>
      </c>
      <c r="D685" s="4">
        <f>Raw_Data!A685</f>
        <v>63</v>
      </c>
      <c r="E685" s="4" t="str">
        <f>Raw_Data!B685</f>
        <v>h</v>
      </c>
      <c r="F685" s="4">
        <f>Raw_Data!C685</f>
        <v>355.92910760000001</v>
      </c>
    </row>
    <row r="686" spans="1:6" thickTop="1" thickBot="1" x14ac:dyDescent="0.35">
      <c r="A686" s="5">
        <f>Raw_Data!D686</f>
        <v>44843</v>
      </c>
      <c r="B686" s="4">
        <f>YEAR(A686)</f>
        <v>2022</v>
      </c>
      <c r="C686" s="4" t="str">
        <f>TEXT(A686,"mmmm")</f>
        <v>October</v>
      </c>
      <c r="D686" s="4">
        <f>Raw_Data!A686</f>
        <v>49</v>
      </c>
      <c r="E686" s="4" t="str">
        <f>Raw_Data!B686</f>
        <v>c</v>
      </c>
      <c r="F686" s="4">
        <f>Raw_Data!C686</f>
        <v>562.58529559999999</v>
      </c>
    </row>
    <row r="687" spans="1:6" thickTop="1" thickBot="1" x14ac:dyDescent="0.35">
      <c r="A687" s="5">
        <f>Raw_Data!D687</f>
        <v>44806</v>
      </c>
      <c r="B687" s="4">
        <f>YEAR(A687)</f>
        <v>2022</v>
      </c>
      <c r="C687" s="4" t="str">
        <f>TEXT(A687,"mmmm")</f>
        <v>September</v>
      </c>
      <c r="D687" s="4">
        <f>Raw_Data!A687</f>
        <v>85</v>
      </c>
      <c r="E687" s="4" t="str">
        <f>Raw_Data!B687</f>
        <v>d</v>
      </c>
      <c r="F687" s="4">
        <f>Raw_Data!C687</f>
        <v>559.79885060000004</v>
      </c>
    </row>
    <row r="688" spans="1:6" thickTop="1" thickBot="1" x14ac:dyDescent="0.35">
      <c r="A688" s="5">
        <f>Raw_Data!D688</f>
        <v>44895</v>
      </c>
      <c r="B688" s="4">
        <f>YEAR(A688)</f>
        <v>2022</v>
      </c>
      <c r="C688" s="4" t="str">
        <f>TEXT(A688,"mmmm")</f>
        <v>November</v>
      </c>
      <c r="D688" s="4">
        <f>Raw_Data!A688</f>
        <v>69</v>
      </c>
      <c r="E688" s="4" t="str">
        <f>Raw_Data!B688</f>
        <v>g</v>
      </c>
      <c r="F688" s="4">
        <f>Raw_Data!C688</f>
        <v>528.18128899999999</v>
      </c>
    </row>
    <row r="689" spans="1:6" thickTop="1" thickBot="1" x14ac:dyDescent="0.35">
      <c r="A689" s="5">
        <f>Raw_Data!D689</f>
        <v>44701</v>
      </c>
      <c r="B689" s="4">
        <f>YEAR(A689)</f>
        <v>2022</v>
      </c>
      <c r="C689" s="4" t="str">
        <f>TEXT(A689,"mmmm")</f>
        <v>May</v>
      </c>
      <c r="D689" s="4">
        <f>Raw_Data!A689</f>
        <v>64</v>
      </c>
      <c r="E689" s="4" t="str">
        <f>Raw_Data!B689</f>
        <v>b</v>
      </c>
      <c r="F689" s="4">
        <f>Raw_Data!C689</f>
        <v>530.67713920000006</v>
      </c>
    </row>
    <row r="690" spans="1:6" thickTop="1" thickBot="1" x14ac:dyDescent="0.35">
      <c r="A690" s="5">
        <f>Raw_Data!D690</f>
        <v>44575</v>
      </c>
      <c r="B690" s="4">
        <f>YEAR(A690)</f>
        <v>2022</v>
      </c>
      <c r="C690" s="4" t="str">
        <f>TEXT(A690,"mmmm")</f>
        <v>January</v>
      </c>
      <c r="D690" s="4">
        <f>Raw_Data!A690</f>
        <v>76</v>
      </c>
      <c r="E690" s="4" t="str">
        <f>Raw_Data!B690</f>
        <v>d</v>
      </c>
      <c r="F690" s="4">
        <f>Raw_Data!C690</f>
        <v>501.872454</v>
      </c>
    </row>
    <row r="691" spans="1:6" thickTop="1" thickBot="1" x14ac:dyDescent="0.35">
      <c r="A691" s="5">
        <f>Raw_Data!D691</f>
        <v>44838</v>
      </c>
      <c r="B691" s="4">
        <f>YEAR(A691)</f>
        <v>2022</v>
      </c>
      <c r="C691" s="4" t="str">
        <f>TEXT(A691,"mmmm")</f>
        <v>October</v>
      </c>
      <c r="D691" s="4">
        <f>Raw_Data!A691</f>
        <v>2</v>
      </c>
      <c r="E691" s="4" t="str">
        <f>Raw_Data!B691</f>
        <v>a</v>
      </c>
      <c r="F691" s="4">
        <f>Raw_Data!C691</f>
        <v>463.86197099999998</v>
      </c>
    </row>
    <row r="692" spans="1:6" thickTop="1" thickBot="1" x14ac:dyDescent="0.35">
      <c r="A692" s="5">
        <f>Raw_Data!D692</f>
        <v>44838</v>
      </c>
      <c r="B692" s="4">
        <f>YEAR(A692)</f>
        <v>2022</v>
      </c>
      <c r="C692" s="4" t="str">
        <f>TEXT(A692,"mmmm")</f>
        <v>October</v>
      </c>
      <c r="D692" s="4">
        <f>Raw_Data!A692</f>
        <v>18</v>
      </c>
      <c r="E692" s="4" t="str">
        <f>Raw_Data!B692</f>
        <v>c</v>
      </c>
      <c r="F692" s="4">
        <f>Raw_Data!C692</f>
        <v>412.21512389999998</v>
      </c>
    </row>
    <row r="693" spans="1:6" thickTop="1" thickBot="1" x14ac:dyDescent="0.35">
      <c r="A693" s="5">
        <f>Raw_Data!D693</f>
        <v>44886</v>
      </c>
      <c r="B693" s="4">
        <f>YEAR(A693)</f>
        <v>2022</v>
      </c>
      <c r="C693" s="4" t="str">
        <f>TEXT(A693,"mmmm")</f>
        <v>November</v>
      </c>
      <c r="D693" s="4">
        <f>Raw_Data!A693</f>
        <v>4</v>
      </c>
      <c r="E693" s="4" t="str">
        <f>Raw_Data!B693</f>
        <v>g</v>
      </c>
      <c r="F693" s="4">
        <f>Raw_Data!C693</f>
        <v>270.16694580000001</v>
      </c>
    </row>
    <row r="694" spans="1:6" thickTop="1" thickBot="1" x14ac:dyDescent="0.35">
      <c r="A694" s="5">
        <f>Raw_Data!D694</f>
        <v>44649</v>
      </c>
      <c r="B694" s="4">
        <f>YEAR(A694)</f>
        <v>2022</v>
      </c>
      <c r="C694" s="4" t="str">
        <f>TEXT(A694,"mmmm")</f>
        <v>March</v>
      </c>
      <c r="D694" s="4">
        <f>Raw_Data!A694</f>
        <v>87</v>
      </c>
      <c r="E694" s="4" t="str">
        <f>Raw_Data!B694</f>
        <v>h</v>
      </c>
      <c r="F694" s="4">
        <f>Raw_Data!C694</f>
        <v>502.34846590000001</v>
      </c>
    </row>
    <row r="695" spans="1:6" thickTop="1" thickBot="1" x14ac:dyDescent="0.35">
      <c r="A695" s="5">
        <f>Raw_Data!D695</f>
        <v>44643</v>
      </c>
      <c r="B695" s="4">
        <f>YEAR(A695)</f>
        <v>2022</v>
      </c>
      <c r="C695" s="4" t="str">
        <f>TEXT(A695,"mmmm")</f>
        <v>March</v>
      </c>
      <c r="D695" s="4">
        <f>Raw_Data!A695</f>
        <v>72</v>
      </c>
      <c r="E695" s="4" t="str">
        <f>Raw_Data!B695</f>
        <v>c</v>
      </c>
      <c r="F695" s="4">
        <f>Raw_Data!C695</f>
        <v>505.27750909999997</v>
      </c>
    </row>
    <row r="696" spans="1:6" thickTop="1" thickBot="1" x14ac:dyDescent="0.35">
      <c r="A696" s="5">
        <f>Raw_Data!D696</f>
        <v>44891</v>
      </c>
      <c r="B696" s="4">
        <f>YEAR(A696)</f>
        <v>2022</v>
      </c>
      <c r="C696" s="4" t="str">
        <f>TEXT(A696,"mmmm")</f>
        <v>November</v>
      </c>
      <c r="D696" s="4">
        <f>Raw_Data!A696</f>
        <v>65</v>
      </c>
      <c r="E696" s="4" t="str">
        <f>Raw_Data!B696</f>
        <v>g</v>
      </c>
      <c r="F696" s="4">
        <f>Raw_Data!C696</f>
        <v>885.17579709999995</v>
      </c>
    </row>
    <row r="697" spans="1:6" thickTop="1" thickBot="1" x14ac:dyDescent="0.35">
      <c r="A697" s="5">
        <f>Raw_Data!D697</f>
        <v>44569</v>
      </c>
      <c r="B697" s="4">
        <f>YEAR(A697)</f>
        <v>2022</v>
      </c>
      <c r="C697" s="4" t="str">
        <f>TEXT(A697,"mmmm")</f>
        <v>January</v>
      </c>
      <c r="D697" s="4">
        <f>Raw_Data!A697</f>
        <v>75</v>
      </c>
      <c r="E697" s="4" t="str">
        <f>Raw_Data!B697</f>
        <v>b</v>
      </c>
      <c r="F697" s="4">
        <f>Raw_Data!C697</f>
        <v>666.90817360000005</v>
      </c>
    </row>
    <row r="698" spans="1:6" thickTop="1" thickBot="1" x14ac:dyDescent="0.35">
      <c r="A698" s="5">
        <f>Raw_Data!D698</f>
        <v>44849</v>
      </c>
      <c r="B698" s="4">
        <f>YEAR(A698)</f>
        <v>2022</v>
      </c>
      <c r="C698" s="4" t="str">
        <f>TEXT(A698,"mmmm")</f>
        <v>October</v>
      </c>
      <c r="D698" s="4">
        <f>Raw_Data!A698</f>
        <v>11</v>
      </c>
      <c r="E698" s="4" t="str">
        <f>Raw_Data!B698</f>
        <v>b</v>
      </c>
      <c r="F698" s="4">
        <f>Raw_Data!C698</f>
        <v>563.15118649999999</v>
      </c>
    </row>
    <row r="699" spans="1:6" thickTop="1" thickBot="1" x14ac:dyDescent="0.35">
      <c r="A699" s="5">
        <f>Raw_Data!D699</f>
        <v>44886</v>
      </c>
      <c r="B699" s="4">
        <f>YEAR(A699)</f>
        <v>2022</v>
      </c>
      <c r="C699" s="4" t="str">
        <f>TEXT(A699,"mmmm")</f>
        <v>November</v>
      </c>
      <c r="D699" s="4">
        <f>Raw_Data!A699</f>
        <v>79</v>
      </c>
      <c r="E699" s="4" t="str">
        <f>Raw_Data!B699</f>
        <v>i</v>
      </c>
      <c r="F699" s="4">
        <f>Raw_Data!C699</f>
        <v>418.40355219999998</v>
      </c>
    </row>
    <row r="700" spans="1:6" thickTop="1" thickBot="1" x14ac:dyDescent="0.35">
      <c r="A700" s="5">
        <f>Raw_Data!D700</f>
        <v>44750</v>
      </c>
      <c r="B700" s="4">
        <f>YEAR(A700)</f>
        <v>2022</v>
      </c>
      <c r="C700" s="4" t="str">
        <f>TEXT(A700,"mmmm")</f>
        <v>July</v>
      </c>
      <c r="D700" s="4">
        <f>Raw_Data!A700</f>
        <v>79</v>
      </c>
      <c r="E700" s="4" t="str">
        <f>Raw_Data!B700</f>
        <v>j</v>
      </c>
      <c r="F700" s="4">
        <f>Raw_Data!C700</f>
        <v>370.51224839999998</v>
      </c>
    </row>
    <row r="701" spans="1:6" thickTop="1" thickBot="1" x14ac:dyDescent="0.35">
      <c r="A701" s="5">
        <f>Raw_Data!D701</f>
        <v>44601</v>
      </c>
      <c r="B701" s="4">
        <f>YEAR(A701)</f>
        <v>2022</v>
      </c>
      <c r="C701" s="4" t="str">
        <f>TEXT(A701,"mmmm")</f>
        <v>February</v>
      </c>
      <c r="D701" s="4">
        <f>Raw_Data!A701</f>
        <v>57</v>
      </c>
      <c r="E701" s="4" t="str">
        <f>Raw_Data!B701</f>
        <v>g</v>
      </c>
      <c r="F701" s="4">
        <f>Raw_Data!C701</f>
        <v>570.00457340000003</v>
      </c>
    </row>
    <row r="702" spans="1:6" thickTop="1" thickBot="1" x14ac:dyDescent="0.35">
      <c r="A702" s="5">
        <f>Raw_Data!D702</f>
        <v>44907</v>
      </c>
      <c r="B702" s="4">
        <f>YEAR(A702)</f>
        <v>2022</v>
      </c>
      <c r="C702" s="4" t="str">
        <f>TEXT(A702,"mmmm")</f>
        <v>December</v>
      </c>
      <c r="D702" s="4">
        <f>Raw_Data!A702</f>
        <v>56</v>
      </c>
      <c r="E702" s="4" t="str">
        <f>Raw_Data!B702</f>
        <v>a</v>
      </c>
      <c r="F702" s="4">
        <f>Raw_Data!C702</f>
        <v>400.5033353</v>
      </c>
    </row>
    <row r="703" spans="1:6" thickTop="1" thickBot="1" x14ac:dyDescent="0.35">
      <c r="A703" s="5">
        <f>Raw_Data!D703</f>
        <v>44754</v>
      </c>
      <c r="B703" s="4">
        <f>YEAR(A703)</f>
        <v>2022</v>
      </c>
      <c r="C703" s="4" t="str">
        <f>TEXT(A703,"mmmm")</f>
        <v>July</v>
      </c>
      <c r="D703" s="4">
        <f>Raw_Data!A703</f>
        <v>15</v>
      </c>
      <c r="E703" s="4" t="str">
        <f>Raw_Data!B703</f>
        <v>b</v>
      </c>
      <c r="F703" s="4">
        <f>Raw_Data!C703</f>
        <v>585.23503960000005</v>
      </c>
    </row>
    <row r="704" spans="1:6" thickTop="1" thickBot="1" x14ac:dyDescent="0.35">
      <c r="A704" s="5">
        <f>Raw_Data!D704</f>
        <v>44867</v>
      </c>
      <c r="B704" s="4">
        <f>YEAR(A704)</f>
        <v>2022</v>
      </c>
      <c r="C704" s="4" t="str">
        <f>TEXT(A704,"mmmm")</f>
        <v>November</v>
      </c>
      <c r="D704" s="4">
        <f>Raw_Data!A704</f>
        <v>79</v>
      </c>
      <c r="E704" s="4" t="str">
        <f>Raw_Data!B704</f>
        <v>i</v>
      </c>
      <c r="F704" s="4">
        <f>Raw_Data!C704</f>
        <v>533.35452210000005</v>
      </c>
    </row>
    <row r="705" spans="1:6" thickTop="1" thickBot="1" x14ac:dyDescent="0.35">
      <c r="A705" s="5">
        <f>Raw_Data!D705</f>
        <v>44605</v>
      </c>
      <c r="B705" s="4">
        <f>YEAR(A705)</f>
        <v>2022</v>
      </c>
      <c r="C705" s="4" t="str">
        <f>TEXT(A705,"mmmm")</f>
        <v>February</v>
      </c>
      <c r="D705" s="4">
        <f>Raw_Data!A705</f>
        <v>52</v>
      </c>
      <c r="E705" s="4" t="str">
        <f>Raw_Data!B705</f>
        <v>i</v>
      </c>
      <c r="F705" s="4">
        <f>Raw_Data!C705</f>
        <v>432.11605279999998</v>
      </c>
    </row>
    <row r="706" spans="1:6" thickTop="1" thickBot="1" x14ac:dyDescent="0.35">
      <c r="A706" s="5">
        <f>Raw_Data!D706</f>
        <v>44731</v>
      </c>
      <c r="B706" s="4">
        <f>YEAR(A706)</f>
        <v>2022</v>
      </c>
      <c r="C706" s="4" t="str">
        <f>TEXT(A706,"mmmm")</f>
        <v>June</v>
      </c>
      <c r="D706" s="4">
        <f>Raw_Data!A706</f>
        <v>61</v>
      </c>
      <c r="E706" s="4" t="str">
        <f>Raw_Data!B706</f>
        <v>a</v>
      </c>
      <c r="F706" s="4">
        <f>Raw_Data!C706</f>
        <v>458.61041660000001</v>
      </c>
    </row>
    <row r="707" spans="1:6" thickTop="1" thickBot="1" x14ac:dyDescent="0.35">
      <c r="A707" s="5">
        <f>Raw_Data!D707</f>
        <v>44705</v>
      </c>
      <c r="B707" s="4">
        <f>YEAR(A707)</f>
        <v>2022</v>
      </c>
      <c r="C707" s="4" t="str">
        <f>TEXT(A707,"mmmm")</f>
        <v>May</v>
      </c>
      <c r="D707" s="4">
        <f>Raw_Data!A707</f>
        <v>89</v>
      </c>
      <c r="E707" s="4" t="str">
        <f>Raw_Data!B707</f>
        <v>f</v>
      </c>
      <c r="F707" s="4">
        <f>Raw_Data!C707</f>
        <v>518.06095140000002</v>
      </c>
    </row>
    <row r="708" spans="1:6" thickTop="1" thickBot="1" x14ac:dyDescent="0.35">
      <c r="A708" s="5">
        <f>Raw_Data!D708</f>
        <v>44785</v>
      </c>
      <c r="B708" s="4">
        <f>YEAR(A708)</f>
        <v>2022</v>
      </c>
      <c r="C708" s="4" t="str">
        <f>TEXT(A708,"mmmm")</f>
        <v>August</v>
      </c>
      <c r="D708" s="4">
        <f>Raw_Data!A708</f>
        <v>36</v>
      </c>
      <c r="E708" s="4" t="str">
        <f>Raw_Data!B708</f>
        <v>f</v>
      </c>
      <c r="F708" s="4">
        <f>Raw_Data!C708</f>
        <v>446.59614269999997</v>
      </c>
    </row>
    <row r="709" spans="1:6" thickTop="1" thickBot="1" x14ac:dyDescent="0.35">
      <c r="A709" s="5">
        <f>Raw_Data!D709</f>
        <v>44882</v>
      </c>
      <c r="B709" s="4">
        <f>YEAR(A709)</f>
        <v>2022</v>
      </c>
      <c r="C709" s="4" t="str">
        <f>TEXT(A709,"mmmm")</f>
        <v>November</v>
      </c>
      <c r="D709" s="4">
        <f>Raw_Data!A709</f>
        <v>3</v>
      </c>
      <c r="E709" s="4" t="str">
        <f>Raw_Data!B709</f>
        <v>i</v>
      </c>
      <c r="F709" s="4">
        <f>Raw_Data!C709</f>
        <v>505.56833990000001</v>
      </c>
    </row>
    <row r="710" spans="1:6" thickTop="1" thickBot="1" x14ac:dyDescent="0.35">
      <c r="A710" s="5">
        <f>Raw_Data!D710</f>
        <v>44638</v>
      </c>
      <c r="B710" s="4">
        <f>YEAR(A710)</f>
        <v>2022</v>
      </c>
      <c r="C710" s="4" t="str">
        <f>TEXT(A710,"mmmm")</f>
        <v>March</v>
      </c>
      <c r="D710" s="4">
        <f>Raw_Data!A710</f>
        <v>7</v>
      </c>
      <c r="E710" s="4" t="str">
        <f>Raw_Data!B710</f>
        <v>g</v>
      </c>
      <c r="F710" s="4">
        <f>Raw_Data!C710</f>
        <v>450.1529377</v>
      </c>
    </row>
    <row r="711" spans="1:6" thickTop="1" thickBot="1" x14ac:dyDescent="0.35">
      <c r="A711" s="5">
        <f>Raw_Data!D711</f>
        <v>44772</v>
      </c>
      <c r="B711" s="4">
        <f>YEAR(A711)</f>
        <v>2022</v>
      </c>
      <c r="C711" s="4" t="str">
        <f>TEXT(A711,"mmmm")</f>
        <v>July</v>
      </c>
      <c r="D711" s="4">
        <f>Raw_Data!A711</f>
        <v>68</v>
      </c>
      <c r="E711" s="4" t="str">
        <f>Raw_Data!B711</f>
        <v>i</v>
      </c>
      <c r="F711" s="4">
        <f>Raw_Data!C711</f>
        <v>647.06608830000005</v>
      </c>
    </row>
    <row r="712" spans="1:6" thickTop="1" thickBot="1" x14ac:dyDescent="0.35">
      <c r="A712" s="5">
        <f>Raw_Data!D712</f>
        <v>44868</v>
      </c>
      <c r="B712" s="4">
        <f>YEAR(A712)</f>
        <v>2022</v>
      </c>
      <c r="C712" s="4" t="str">
        <f>TEXT(A712,"mmmm")</f>
        <v>November</v>
      </c>
      <c r="D712" s="4">
        <f>Raw_Data!A712</f>
        <v>53</v>
      </c>
      <c r="E712" s="4" t="str">
        <f>Raw_Data!B712</f>
        <v>c</v>
      </c>
      <c r="F712" s="4">
        <f>Raw_Data!C712</f>
        <v>522.50389719999998</v>
      </c>
    </row>
    <row r="713" spans="1:6" thickTop="1" thickBot="1" x14ac:dyDescent="0.35">
      <c r="A713" s="5">
        <f>Raw_Data!D713</f>
        <v>44779</v>
      </c>
      <c r="B713" s="4">
        <f>YEAR(A713)</f>
        <v>2022</v>
      </c>
      <c r="C713" s="4" t="str">
        <f>TEXT(A713,"mmmm")</f>
        <v>August</v>
      </c>
      <c r="D713" s="4">
        <f>Raw_Data!A713</f>
        <v>24</v>
      </c>
      <c r="E713" s="4" t="str">
        <f>Raw_Data!B713</f>
        <v>h</v>
      </c>
      <c r="F713" s="4">
        <f>Raw_Data!C713</f>
        <v>471.74664050000001</v>
      </c>
    </row>
    <row r="714" spans="1:6" thickTop="1" thickBot="1" x14ac:dyDescent="0.35">
      <c r="A714" s="5">
        <f>Raw_Data!D714</f>
        <v>44775</v>
      </c>
      <c r="B714" s="4">
        <f>YEAR(A714)</f>
        <v>2022</v>
      </c>
      <c r="C714" s="4" t="str">
        <f>TEXT(A714,"mmmm")</f>
        <v>August</v>
      </c>
      <c r="D714" s="4">
        <f>Raw_Data!A714</f>
        <v>68</v>
      </c>
      <c r="E714" s="4" t="str">
        <f>Raw_Data!B714</f>
        <v>j</v>
      </c>
      <c r="F714" s="4">
        <f>Raw_Data!C714</f>
        <v>465.5582197</v>
      </c>
    </row>
    <row r="715" spans="1:6" thickTop="1" thickBot="1" x14ac:dyDescent="0.35">
      <c r="A715" s="5">
        <f>Raw_Data!D715</f>
        <v>44659</v>
      </c>
      <c r="B715" s="4">
        <f>YEAR(A715)</f>
        <v>2022</v>
      </c>
      <c r="C715" s="4" t="str">
        <f>TEXT(A715,"mmmm")</f>
        <v>April</v>
      </c>
      <c r="D715" s="4">
        <f>Raw_Data!A715</f>
        <v>67</v>
      </c>
      <c r="E715" s="4" t="str">
        <f>Raw_Data!B715</f>
        <v>f</v>
      </c>
      <c r="F715" s="4">
        <f>Raw_Data!C715</f>
        <v>407.32111479999998</v>
      </c>
    </row>
    <row r="716" spans="1:6" thickTop="1" thickBot="1" x14ac:dyDescent="0.35">
      <c r="A716" s="5">
        <f>Raw_Data!D716</f>
        <v>44734</v>
      </c>
      <c r="B716" s="4">
        <f>YEAR(A716)</f>
        <v>2022</v>
      </c>
      <c r="C716" s="4" t="str">
        <f>TEXT(A716,"mmmm")</f>
        <v>June</v>
      </c>
      <c r="D716" s="4">
        <f>Raw_Data!A716</f>
        <v>11</v>
      </c>
      <c r="E716" s="4" t="str">
        <f>Raw_Data!B716</f>
        <v>j</v>
      </c>
      <c r="F716" s="4">
        <f>Raw_Data!C716</f>
        <v>648.76640659999998</v>
      </c>
    </row>
    <row r="717" spans="1:6" thickTop="1" thickBot="1" x14ac:dyDescent="0.35">
      <c r="A717" s="5">
        <f>Raw_Data!D717</f>
        <v>44829</v>
      </c>
      <c r="B717" s="4">
        <f>YEAR(A717)</f>
        <v>2022</v>
      </c>
      <c r="C717" s="4" t="str">
        <f>TEXT(A717,"mmmm")</f>
        <v>September</v>
      </c>
      <c r="D717" s="4">
        <f>Raw_Data!A717</f>
        <v>74</v>
      </c>
      <c r="E717" s="4" t="str">
        <f>Raw_Data!B717</f>
        <v>i</v>
      </c>
      <c r="F717" s="4">
        <f>Raw_Data!C717</f>
        <v>470.28707009999999</v>
      </c>
    </row>
    <row r="718" spans="1:6" thickTop="1" thickBot="1" x14ac:dyDescent="0.35">
      <c r="A718" s="5">
        <f>Raw_Data!D718</f>
        <v>44862</v>
      </c>
      <c r="B718" s="4">
        <f>YEAR(A718)</f>
        <v>2022</v>
      </c>
      <c r="C718" s="4" t="str">
        <f>TEXT(A718,"mmmm")</f>
        <v>October</v>
      </c>
      <c r="D718" s="4">
        <f>Raw_Data!A718</f>
        <v>93</v>
      </c>
      <c r="E718" s="4" t="str">
        <f>Raw_Data!B718</f>
        <v>i</v>
      </c>
      <c r="F718" s="4">
        <f>Raw_Data!C718</f>
        <v>519.58771079999997</v>
      </c>
    </row>
    <row r="719" spans="1:6" thickTop="1" thickBot="1" x14ac:dyDescent="0.35">
      <c r="A719" s="5">
        <f>Raw_Data!D719</f>
        <v>44797</v>
      </c>
      <c r="B719" s="4">
        <f>YEAR(A719)</f>
        <v>2022</v>
      </c>
      <c r="C719" s="4" t="str">
        <f>TEXT(A719,"mmmm")</f>
        <v>August</v>
      </c>
      <c r="D719" s="4">
        <f>Raw_Data!A719</f>
        <v>87</v>
      </c>
      <c r="E719" s="4" t="str">
        <f>Raw_Data!B719</f>
        <v>d</v>
      </c>
      <c r="F719" s="4">
        <f>Raw_Data!C719</f>
        <v>538.63052400000004</v>
      </c>
    </row>
    <row r="720" spans="1:6" thickTop="1" thickBot="1" x14ac:dyDescent="0.35">
      <c r="A720" s="5">
        <f>Raw_Data!D720</f>
        <v>44862</v>
      </c>
      <c r="B720" s="4">
        <f>YEAR(A720)</f>
        <v>2022</v>
      </c>
      <c r="C720" s="4" t="str">
        <f>TEXT(A720,"mmmm")</f>
        <v>October</v>
      </c>
      <c r="D720" s="4">
        <f>Raw_Data!A720</f>
        <v>5</v>
      </c>
      <c r="E720" s="4" t="str">
        <f>Raw_Data!B720</f>
        <v>i</v>
      </c>
      <c r="F720" s="4">
        <f>Raw_Data!C720</f>
        <v>444.97201480000001</v>
      </c>
    </row>
    <row r="721" spans="1:6" thickTop="1" thickBot="1" x14ac:dyDescent="0.35">
      <c r="A721" s="5">
        <f>Raw_Data!D721</f>
        <v>44906</v>
      </c>
      <c r="B721" s="4">
        <f>YEAR(A721)</f>
        <v>2022</v>
      </c>
      <c r="C721" s="4" t="str">
        <f>TEXT(A721,"mmmm")</f>
        <v>December</v>
      </c>
      <c r="D721" s="4">
        <f>Raw_Data!A721</f>
        <v>88</v>
      </c>
      <c r="E721" s="4" t="str">
        <f>Raw_Data!B721</f>
        <v>i</v>
      </c>
      <c r="F721" s="4">
        <f>Raw_Data!C721</f>
        <v>485.33213230000001</v>
      </c>
    </row>
    <row r="722" spans="1:6" thickTop="1" thickBot="1" x14ac:dyDescent="0.35">
      <c r="A722" s="5">
        <f>Raw_Data!D722</f>
        <v>44564</v>
      </c>
      <c r="B722" s="4">
        <f>YEAR(A722)</f>
        <v>2022</v>
      </c>
      <c r="C722" s="4" t="str">
        <f>TEXT(A722,"mmmm")</f>
        <v>January</v>
      </c>
      <c r="D722" s="4">
        <f>Raw_Data!A722</f>
        <v>32</v>
      </c>
      <c r="E722" s="4" t="str">
        <f>Raw_Data!B722</f>
        <v>e</v>
      </c>
      <c r="F722" s="4">
        <f>Raw_Data!C722</f>
        <v>741.71745069999997</v>
      </c>
    </row>
    <row r="723" spans="1:6" thickTop="1" thickBot="1" x14ac:dyDescent="0.35">
      <c r="A723" s="5">
        <f>Raw_Data!D723</f>
        <v>44680</v>
      </c>
      <c r="B723" s="4">
        <f>YEAR(A723)</f>
        <v>2022</v>
      </c>
      <c r="C723" s="4" t="str">
        <f>TEXT(A723,"mmmm")</f>
        <v>April</v>
      </c>
      <c r="D723" s="4">
        <f>Raw_Data!A723</f>
        <v>89</v>
      </c>
      <c r="E723" s="4" t="str">
        <f>Raw_Data!B723</f>
        <v>a</v>
      </c>
      <c r="F723" s="4">
        <f>Raw_Data!C723</f>
        <v>451.8277377</v>
      </c>
    </row>
    <row r="724" spans="1:6" thickTop="1" thickBot="1" x14ac:dyDescent="0.35">
      <c r="A724" s="5">
        <f>Raw_Data!D724</f>
        <v>44889</v>
      </c>
      <c r="B724" s="4">
        <f>YEAR(A724)</f>
        <v>2022</v>
      </c>
      <c r="C724" s="4" t="str">
        <f>TEXT(A724,"mmmm")</f>
        <v>November</v>
      </c>
      <c r="D724" s="4">
        <f>Raw_Data!A724</f>
        <v>11</v>
      </c>
      <c r="E724" s="4" t="str">
        <f>Raw_Data!B724</f>
        <v>b</v>
      </c>
      <c r="F724" s="4">
        <f>Raw_Data!C724</f>
        <v>458.12403590000002</v>
      </c>
    </row>
    <row r="725" spans="1:6" thickTop="1" thickBot="1" x14ac:dyDescent="0.35">
      <c r="A725" s="5">
        <f>Raw_Data!D725</f>
        <v>44790</v>
      </c>
      <c r="B725" s="4">
        <f>YEAR(A725)</f>
        <v>2022</v>
      </c>
      <c r="C725" s="4" t="str">
        <f>TEXT(A725,"mmmm")</f>
        <v>August</v>
      </c>
      <c r="D725" s="4">
        <f>Raw_Data!A725</f>
        <v>74</v>
      </c>
      <c r="E725" s="4" t="str">
        <f>Raw_Data!B725</f>
        <v>c</v>
      </c>
      <c r="F725" s="4">
        <f>Raw_Data!C725</f>
        <v>627.87934029999997</v>
      </c>
    </row>
    <row r="726" spans="1:6" thickTop="1" thickBot="1" x14ac:dyDescent="0.35">
      <c r="A726" s="5">
        <f>Raw_Data!D726</f>
        <v>44669</v>
      </c>
      <c r="B726" s="4">
        <f>YEAR(A726)</f>
        <v>2022</v>
      </c>
      <c r="C726" s="4" t="str">
        <f>TEXT(A726,"mmmm")</f>
        <v>April</v>
      </c>
      <c r="D726" s="4">
        <f>Raw_Data!A726</f>
        <v>79</v>
      </c>
      <c r="E726" s="4" t="str">
        <f>Raw_Data!B726</f>
        <v>e</v>
      </c>
      <c r="F726" s="4">
        <f>Raw_Data!C726</f>
        <v>365.67741869999998</v>
      </c>
    </row>
    <row r="727" spans="1:6" thickTop="1" thickBot="1" x14ac:dyDescent="0.35">
      <c r="A727" s="5">
        <f>Raw_Data!D727</f>
        <v>44874</v>
      </c>
      <c r="B727" s="4">
        <f>YEAR(A727)</f>
        <v>2022</v>
      </c>
      <c r="C727" s="4" t="str">
        <f>TEXT(A727,"mmmm")</f>
        <v>November</v>
      </c>
      <c r="D727" s="4">
        <f>Raw_Data!A727</f>
        <v>60</v>
      </c>
      <c r="E727" s="4" t="str">
        <f>Raw_Data!B727</f>
        <v>h</v>
      </c>
      <c r="F727" s="4">
        <f>Raw_Data!C727</f>
        <v>507.7453309</v>
      </c>
    </row>
    <row r="728" spans="1:6" thickTop="1" thickBot="1" x14ac:dyDescent="0.35">
      <c r="A728" s="5">
        <f>Raw_Data!D728</f>
        <v>44693</v>
      </c>
      <c r="B728" s="4">
        <f>YEAR(A728)</f>
        <v>2022</v>
      </c>
      <c r="C728" s="4" t="str">
        <f>TEXT(A728,"mmmm")</f>
        <v>May</v>
      </c>
      <c r="D728" s="4">
        <f>Raw_Data!A728</f>
        <v>31</v>
      </c>
      <c r="E728" s="4" t="str">
        <f>Raw_Data!B728</f>
        <v>a</v>
      </c>
      <c r="F728" s="4">
        <f>Raw_Data!C728</f>
        <v>601.62754150000001</v>
      </c>
    </row>
    <row r="729" spans="1:6" thickTop="1" thickBot="1" x14ac:dyDescent="0.35">
      <c r="A729" s="5">
        <f>Raw_Data!D729</f>
        <v>44824</v>
      </c>
      <c r="B729" s="4">
        <f>YEAR(A729)</f>
        <v>2022</v>
      </c>
      <c r="C729" s="4" t="str">
        <f>TEXT(A729,"mmmm")</f>
        <v>September</v>
      </c>
      <c r="D729" s="4">
        <f>Raw_Data!A729</f>
        <v>74</v>
      </c>
      <c r="E729" s="4" t="str">
        <f>Raw_Data!B729</f>
        <v>g</v>
      </c>
      <c r="F729" s="4">
        <f>Raw_Data!C729</f>
        <v>547.14443779999999</v>
      </c>
    </row>
    <row r="730" spans="1:6" thickTop="1" thickBot="1" x14ac:dyDescent="0.35">
      <c r="A730" s="5">
        <f>Raw_Data!D730</f>
        <v>44793</v>
      </c>
      <c r="B730" s="4">
        <f>YEAR(A730)</f>
        <v>2022</v>
      </c>
      <c r="C730" s="4" t="str">
        <f>TEXT(A730,"mmmm")</f>
        <v>August</v>
      </c>
      <c r="D730" s="4">
        <f>Raw_Data!A730</f>
        <v>45</v>
      </c>
      <c r="E730" s="4" t="str">
        <f>Raw_Data!B730</f>
        <v>j</v>
      </c>
      <c r="F730" s="4">
        <f>Raw_Data!C730</f>
        <v>584.50162060000002</v>
      </c>
    </row>
    <row r="731" spans="1:6" thickTop="1" thickBot="1" x14ac:dyDescent="0.35">
      <c r="A731" s="5">
        <f>Raw_Data!D731</f>
        <v>44620</v>
      </c>
      <c r="B731" s="4">
        <f>YEAR(A731)</f>
        <v>2022</v>
      </c>
      <c r="C731" s="4" t="str">
        <f>TEXT(A731,"mmmm")</f>
        <v>February</v>
      </c>
      <c r="D731" s="4">
        <f>Raw_Data!A731</f>
        <v>59</v>
      </c>
      <c r="E731" s="4" t="str">
        <f>Raw_Data!B731</f>
        <v>e</v>
      </c>
      <c r="F731" s="4">
        <f>Raw_Data!C731</f>
        <v>436.21272290000002</v>
      </c>
    </row>
    <row r="732" spans="1:6" thickTop="1" thickBot="1" x14ac:dyDescent="0.35">
      <c r="A732" s="5">
        <f>Raw_Data!D732</f>
        <v>44859</v>
      </c>
      <c r="B732" s="4">
        <f>YEAR(A732)</f>
        <v>2022</v>
      </c>
      <c r="C732" s="4" t="str">
        <f>TEXT(A732,"mmmm")</f>
        <v>October</v>
      </c>
      <c r="D732" s="4">
        <f>Raw_Data!A732</f>
        <v>24</v>
      </c>
      <c r="E732" s="4" t="str">
        <f>Raw_Data!B732</f>
        <v>g</v>
      </c>
      <c r="F732" s="4">
        <f>Raw_Data!C732</f>
        <v>590.07817660000001</v>
      </c>
    </row>
    <row r="733" spans="1:6" thickTop="1" thickBot="1" x14ac:dyDescent="0.35">
      <c r="A733" s="5">
        <f>Raw_Data!D733</f>
        <v>44657</v>
      </c>
      <c r="B733" s="4">
        <f>YEAR(A733)</f>
        <v>2022</v>
      </c>
      <c r="C733" s="4" t="str">
        <f>TEXT(A733,"mmmm")</f>
        <v>April</v>
      </c>
      <c r="D733" s="4">
        <f>Raw_Data!A733</f>
        <v>35</v>
      </c>
      <c r="E733" s="4" t="str">
        <f>Raw_Data!B733</f>
        <v>i</v>
      </c>
      <c r="F733" s="4">
        <f>Raw_Data!C733</f>
        <v>596.53145559999996</v>
      </c>
    </row>
    <row r="734" spans="1:6" thickTop="1" thickBot="1" x14ac:dyDescent="0.35">
      <c r="A734" s="5">
        <f>Raw_Data!D734</f>
        <v>44756</v>
      </c>
      <c r="B734" s="4">
        <f>YEAR(A734)</f>
        <v>2022</v>
      </c>
      <c r="C734" s="4" t="str">
        <f>TEXT(A734,"mmmm")</f>
        <v>July</v>
      </c>
      <c r="D734" s="4">
        <f>Raw_Data!A734</f>
        <v>10</v>
      </c>
      <c r="E734" s="4" t="str">
        <f>Raw_Data!B734</f>
        <v>j</v>
      </c>
      <c r="F734" s="4">
        <f>Raw_Data!C734</f>
        <v>293.56849460000001</v>
      </c>
    </row>
    <row r="735" spans="1:6" thickTop="1" thickBot="1" x14ac:dyDescent="0.35">
      <c r="A735" s="5">
        <f>Raw_Data!D735</f>
        <v>44828</v>
      </c>
      <c r="B735" s="4">
        <f>YEAR(A735)</f>
        <v>2022</v>
      </c>
      <c r="C735" s="4" t="str">
        <f>TEXT(A735,"mmmm")</f>
        <v>September</v>
      </c>
      <c r="D735" s="4">
        <f>Raw_Data!A735</f>
        <v>64</v>
      </c>
      <c r="E735" s="4" t="str">
        <f>Raw_Data!B735</f>
        <v>b</v>
      </c>
      <c r="F735" s="4">
        <f>Raw_Data!C735</f>
        <v>566.83919089999995</v>
      </c>
    </row>
    <row r="736" spans="1:6" thickTop="1" thickBot="1" x14ac:dyDescent="0.35">
      <c r="A736" s="5">
        <f>Raw_Data!D736</f>
        <v>44679</v>
      </c>
      <c r="B736" s="4">
        <f>YEAR(A736)</f>
        <v>2022</v>
      </c>
      <c r="C736" s="4" t="str">
        <f>TEXT(A736,"mmmm")</f>
        <v>April</v>
      </c>
      <c r="D736" s="4">
        <f>Raw_Data!A736</f>
        <v>72</v>
      </c>
      <c r="E736" s="4" t="str">
        <f>Raw_Data!B736</f>
        <v>f</v>
      </c>
      <c r="F736" s="4">
        <f>Raw_Data!C736</f>
        <v>465.38890459999999</v>
      </c>
    </row>
    <row r="737" spans="1:6" thickTop="1" thickBot="1" x14ac:dyDescent="0.35">
      <c r="A737" s="5">
        <f>Raw_Data!D737</f>
        <v>44564</v>
      </c>
      <c r="B737" s="4">
        <f>YEAR(A737)</f>
        <v>2022</v>
      </c>
      <c r="C737" s="4" t="str">
        <f>TEXT(A737,"mmmm")</f>
        <v>January</v>
      </c>
      <c r="D737" s="4">
        <f>Raw_Data!A737</f>
        <v>44</v>
      </c>
      <c r="E737" s="4" t="str">
        <f>Raw_Data!B737</f>
        <v>c</v>
      </c>
      <c r="F737" s="4">
        <f>Raw_Data!C737</f>
        <v>464.04835009999999</v>
      </c>
    </row>
    <row r="738" spans="1:6" thickTop="1" thickBot="1" x14ac:dyDescent="0.35">
      <c r="A738" s="5">
        <f>Raw_Data!D738</f>
        <v>44685</v>
      </c>
      <c r="B738" s="4">
        <f>YEAR(A738)</f>
        <v>2022</v>
      </c>
      <c r="C738" s="4" t="str">
        <f>TEXT(A738,"mmmm")</f>
        <v>May</v>
      </c>
      <c r="D738" s="4">
        <f>Raw_Data!A738</f>
        <v>42</v>
      </c>
      <c r="E738" s="4" t="str">
        <f>Raw_Data!B738</f>
        <v>c</v>
      </c>
      <c r="F738" s="4">
        <f>Raw_Data!C738</f>
        <v>509.70312000000001</v>
      </c>
    </row>
    <row r="739" spans="1:6" thickTop="1" thickBot="1" x14ac:dyDescent="0.35">
      <c r="A739" s="5">
        <f>Raw_Data!D739</f>
        <v>44887</v>
      </c>
      <c r="B739" s="4">
        <f>YEAR(A739)</f>
        <v>2022</v>
      </c>
      <c r="C739" s="4" t="str">
        <f>TEXT(A739,"mmmm")</f>
        <v>November</v>
      </c>
      <c r="D739" s="4">
        <f>Raw_Data!A739</f>
        <v>32</v>
      </c>
      <c r="E739" s="4" t="str">
        <f>Raw_Data!B739</f>
        <v>h</v>
      </c>
      <c r="F739" s="4">
        <f>Raw_Data!C739</f>
        <v>475.54746390000003</v>
      </c>
    </row>
    <row r="740" spans="1:6" thickTop="1" thickBot="1" x14ac:dyDescent="0.35">
      <c r="A740" s="5">
        <f>Raw_Data!D740</f>
        <v>44642</v>
      </c>
      <c r="B740" s="4">
        <f>YEAR(A740)</f>
        <v>2022</v>
      </c>
      <c r="C740" s="4" t="str">
        <f>TEXT(A740,"mmmm")</f>
        <v>March</v>
      </c>
      <c r="D740" s="4">
        <f>Raw_Data!A740</f>
        <v>39</v>
      </c>
      <c r="E740" s="4" t="str">
        <f>Raw_Data!B740</f>
        <v>g</v>
      </c>
      <c r="F740" s="4">
        <f>Raw_Data!C740</f>
        <v>551.22828489999995</v>
      </c>
    </row>
    <row r="741" spans="1:6" thickTop="1" thickBot="1" x14ac:dyDescent="0.35">
      <c r="A741" s="5">
        <f>Raw_Data!D741</f>
        <v>44864</v>
      </c>
      <c r="B741" s="4">
        <f>YEAR(A741)</f>
        <v>2022</v>
      </c>
      <c r="C741" s="4" t="str">
        <f>TEXT(A741,"mmmm")</f>
        <v>October</v>
      </c>
      <c r="D741" s="4">
        <f>Raw_Data!A741</f>
        <v>7</v>
      </c>
      <c r="E741" s="4" t="str">
        <f>Raw_Data!B741</f>
        <v>b</v>
      </c>
      <c r="F741" s="4">
        <f>Raw_Data!C741</f>
        <v>662.53793250000001</v>
      </c>
    </row>
    <row r="742" spans="1:6" thickTop="1" thickBot="1" x14ac:dyDescent="0.35">
      <c r="A742" s="5">
        <f>Raw_Data!D742</f>
        <v>44816</v>
      </c>
      <c r="B742" s="4">
        <f>YEAR(A742)</f>
        <v>2022</v>
      </c>
      <c r="C742" s="4" t="str">
        <f>TEXT(A742,"mmmm")</f>
        <v>September</v>
      </c>
      <c r="D742" s="4">
        <f>Raw_Data!A742</f>
        <v>38</v>
      </c>
      <c r="E742" s="4" t="str">
        <f>Raw_Data!B742</f>
        <v>e</v>
      </c>
      <c r="F742" s="4">
        <f>Raw_Data!C742</f>
        <v>534.93958229999998</v>
      </c>
    </row>
    <row r="743" spans="1:6" thickTop="1" thickBot="1" x14ac:dyDescent="0.35">
      <c r="A743" s="5">
        <f>Raw_Data!D743</f>
        <v>44673</v>
      </c>
      <c r="B743" s="4">
        <f>YEAR(A743)</f>
        <v>2022</v>
      </c>
      <c r="C743" s="4" t="str">
        <f>TEXT(A743,"mmmm")</f>
        <v>April</v>
      </c>
      <c r="D743" s="4">
        <f>Raw_Data!A743</f>
        <v>17</v>
      </c>
      <c r="E743" s="4" t="str">
        <f>Raw_Data!B743</f>
        <v>f</v>
      </c>
      <c r="F743" s="4">
        <f>Raw_Data!C743</f>
        <v>359.70547140000002</v>
      </c>
    </row>
    <row r="744" spans="1:6" thickTop="1" thickBot="1" x14ac:dyDescent="0.35">
      <c r="A744" s="5">
        <f>Raw_Data!D744</f>
        <v>44755</v>
      </c>
      <c r="B744" s="4">
        <f>YEAR(A744)</f>
        <v>2022</v>
      </c>
      <c r="C744" s="4" t="str">
        <f>TEXT(A744,"mmmm")</f>
        <v>July</v>
      </c>
      <c r="D744" s="4">
        <f>Raw_Data!A744</f>
        <v>84</v>
      </c>
      <c r="E744" s="4" t="str">
        <f>Raw_Data!B744</f>
        <v>c</v>
      </c>
      <c r="F744" s="4">
        <f>Raw_Data!C744</f>
        <v>590.39511990000005</v>
      </c>
    </row>
    <row r="745" spans="1:6" thickTop="1" thickBot="1" x14ac:dyDescent="0.35">
      <c r="A745" s="5">
        <f>Raw_Data!D745</f>
        <v>44892</v>
      </c>
      <c r="B745" s="4">
        <f>YEAR(A745)</f>
        <v>2022</v>
      </c>
      <c r="C745" s="4" t="str">
        <f>TEXT(A745,"mmmm")</f>
        <v>November</v>
      </c>
      <c r="D745" s="4">
        <f>Raw_Data!A745</f>
        <v>33</v>
      </c>
      <c r="E745" s="4" t="str">
        <f>Raw_Data!B745</f>
        <v>a</v>
      </c>
      <c r="F745" s="4">
        <f>Raw_Data!C745</f>
        <v>518.1019728</v>
      </c>
    </row>
    <row r="746" spans="1:6" thickTop="1" thickBot="1" x14ac:dyDescent="0.35">
      <c r="A746" s="5">
        <f>Raw_Data!D746</f>
        <v>44610</v>
      </c>
      <c r="B746" s="4">
        <f>YEAR(A746)</f>
        <v>2022</v>
      </c>
      <c r="C746" s="4" t="str">
        <f>TEXT(A746,"mmmm")</f>
        <v>February</v>
      </c>
      <c r="D746" s="4">
        <f>Raw_Data!A746</f>
        <v>74</v>
      </c>
      <c r="E746" s="4" t="str">
        <f>Raw_Data!B746</f>
        <v>i</v>
      </c>
      <c r="F746" s="4">
        <f>Raw_Data!C746</f>
        <v>758.78759239999999</v>
      </c>
    </row>
    <row r="747" spans="1:6" thickTop="1" thickBot="1" x14ac:dyDescent="0.35">
      <c r="A747" s="5">
        <f>Raw_Data!D747</f>
        <v>44673</v>
      </c>
      <c r="B747" s="4">
        <f>YEAR(A747)</f>
        <v>2022</v>
      </c>
      <c r="C747" s="4" t="str">
        <f>TEXT(A747,"mmmm")</f>
        <v>April</v>
      </c>
      <c r="D747" s="4">
        <f>Raw_Data!A747</f>
        <v>74</v>
      </c>
      <c r="E747" s="4" t="str">
        <f>Raw_Data!B747</f>
        <v>h</v>
      </c>
      <c r="F747" s="4">
        <f>Raw_Data!C747</f>
        <v>405.3778926</v>
      </c>
    </row>
    <row r="748" spans="1:6" thickTop="1" thickBot="1" x14ac:dyDescent="0.35">
      <c r="A748" s="5">
        <f>Raw_Data!D748</f>
        <v>44788</v>
      </c>
      <c r="B748" s="4">
        <f>YEAR(A748)</f>
        <v>2022</v>
      </c>
      <c r="C748" s="4" t="str">
        <f>TEXT(A748,"mmmm")</f>
        <v>August</v>
      </c>
      <c r="D748" s="4">
        <f>Raw_Data!A748</f>
        <v>2</v>
      </c>
      <c r="E748" s="4" t="str">
        <f>Raw_Data!B748</f>
        <v>i</v>
      </c>
      <c r="F748" s="4">
        <f>Raw_Data!C748</f>
        <v>509.77860859999998</v>
      </c>
    </row>
    <row r="749" spans="1:6" thickTop="1" thickBot="1" x14ac:dyDescent="0.35">
      <c r="A749" s="5">
        <f>Raw_Data!D749</f>
        <v>44736</v>
      </c>
      <c r="B749" s="4">
        <f>YEAR(A749)</f>
        <v>2022</v>
      </c>
      <c r="C749" s="4" t="str">
        <f>TEXT(A749,"mmmm")</f>
        <v>June</v>
      </c>
      <c r="D749" s="4">
        <f>Raw_Data!A749</f>
        <v>79</v>
      </c>
      <c r="E749" s="4" t="str">
        <f>Raw_Data!B749</f>
        <v>a</v>
      </c>
      <c r="F749" s="4">
        <f>Raw_Data!C749</f>
        <v>552.06211169999995</v>
      </c>
    </row>
    <row r="750" spans="1:6" thickTop="1" thickBot="1" x14ac:dyDescent="0.35">
      <c r="A750" s="5">
        <f>Raw_Data!D750</f>
        <v>44659</v>
      </c>
      <c r="B750" s="4">
        <f>YEAR(A750)</f>
        <v>2022</v>
      </c>
      <c r="C750" s="4" t="str">
        <f>TEXT(A750,"mmmm")</f>
        <v>April</v>
      </c>
      <c r="D750" s="4">
        <f>Raw_Data!A750</f>
        <v>87</v>
      </c>
      <c r="E750" s="4" t="str">
        <f>Raw_Data!B750</f>
        <v>h</v>
      </c>
      <c r="F750" s="4">
        <f>Raw_Data!C750</f>
        <v>559.25495760000001</v>
      </c>
    </row>
    <row r="751" spans="1:6" thickTop="1" thickBot="1" x14ac:dyDescent="0.35">
      <c r="A751" s="5">
        <f>Raw_Data!D751</f>
        <v>44595</v>
      </c>
      <c r="B751" s="4">
        <f>YEAR(A751)</f>
        <v>2022</v>
      </c>
      <c r="C751" s="4" t="str">
        <f>TEXT(A751,"mmmm")</f>
        <v>February</v>
      </c>
      <c r="D751" s="4">
        <f>Raw_Data!A751</f>
        <v>99</v>
      </c>
      <c r="E751" s="4" t="str">
        <f>Raw_Data!B751</f>
        <v>h</v>
      </c>
      <c r="F751" s="4">
        <f>Raw_Data!C751</f>
        <v>450.03809369999999</v>
      </c>
    </row>
    <row r="752" spans="1:6" thickTop="1" thickBot="1" x14ac:dyDescent="0.35">
      <c r="A752" s="5">
        <f>Raw_Data!D752</f>
        <v>44787</v>
      </c>
      <c r="B752" s="4">
        <f>YEAR(A752)</f>
        <v>2022</v>
      </c>
      <c r="C752" s="4" t="str">
        <f>TEXT(A752,"mmmm")</f>
        <v>August</v>
      </c>
      <c r="D752" s="4">
        <f>Raw_Data!A752</f>
        <v>66</v>
      </c>
      <c r="E752" s="4" t="str">
        <f>Raw_Data!B752</f>
        <v>h</v>
      </c>
      <c r="F752" s="4">
        <f>Raw_Data!C752</f>
        <v>417.69726220000001</v>
      </c>
    </row>
    <row r="753" spans="1:6" thickTop="1" thickBot="1" x14ac:dyDescent="0.35">
      <c r="A753" s="5">
        <f>Raw_Data!D753</f>
        <v>44748</v>
      </c>
      <c r="B753" s="4">
        <f>YEAR(A753)</f>
        <v>2022</v>
      </c>
      <c r="C753" s="4" t="str">
        <f>TEXT(A753,"mmmm")</f>
        <v>July</v>
      </c>
      <c r="D753" s="4">
        <f>Raw_Data!A753</f>
        <v>70</v>
      </c>
      <c r="E753" s="4" t="str">
        <f>Raw_Data!B753</f>
        <v>j</v>
      </c>
      <c r="F753" s="4">
        <f>Raw_Data!C753</f>
        <v>627.514364</v>
      </c>
    </row>
    <row r="754" spans="1:6" thickTop="1" thickBot="1" x14ac:dyDescent="0.35">
      <c r="A754" s="5">
        <f>Raw_Data!D754</f>
        <v>44845</v>
      </c>
      <c r="B754" s="4">
        <f>YEAR(A754)</f>
        <v>2022</v>
      </c>
      <c r="C754" s="4" t="str">
        <f>TEXT(A754,"mmmm")</f>
        <v>October</v>
      </c>
      <c r="D754" s="4">
        <f>Raw_Data!A754</f>
        <v>59</v>
      </c>
      <c r="E754" s="4" t="str">
        <f>Raw_Data!B754</f>
        <v>j</v>
      </c>
      <c r="F754" s="4">
        <f>Raw_Data!C754</f>
        <v>393.57008539999998</v>
      </c>
    </row>
    <row r="755" spans="1:6" thickTop="1" thickBot="1" x14ac:dyDescent="0.35">
      <c r="A755" s="5">
        <f>Raw_Data!D755</f>
        <v>44745</v>
      </c>
      <c r="B755" s="4">
        <f>YEAR(A755)</f>
        <v>2022</v>
      </c>
      <c r="C755" s="4" t="str">
        <f>TEXT(A755,"mmmm")</f>
        <v>July</v>
      </c>
      <c r="D755" s="4">
        <f>Raw_Data!A755</f>
        <v>47</v>
      </c>
      <c r="E755" s="4" t="str">
        <f>Raw_Data!B755</f>
        <v>h</v>
      </c>
      <c r="F755" s="4">
        <f>Raw_Data!C755</f>
        <v>510.75801660000002</v>
      </c>
    </row>
    <row r="756" spans="1:6" thickTop="1" thickBot="1" x14ac:dyDescent="0.35">
      <c r="A756" s="5">
        <f>Raw_Data!D756</f>
        <v>44698</v>
      </c>
      <c r="B756" s="4">
        <f>YEAR(A756)</f>
        <v>2022</v>
      </c>
      <c r="C756" s="4" t="str">
        <f>TEXT(A756,"mmmm")</f>
        <v>May</v>
      </c>
      <c r="D756" s="4">
        <f>Raw_Data!A756</f>
        <v>9</v>
      </c>
      <c r="E756" s="4" t="str">
        <f>Raw_Data!B756</f>
        <v>h</v>
      </c>
      <c r="F756" s="4">
        <f>Raw_Data!C756</f>
        <v>553.34871039999996</v>
      </c>
    </row>
    <row r="757" spans="1:6" thickTop="1" thickBot="1" x14ac:dyDescent="0.35">
      <c r="A757" s="5">
        <f>Raw_Data!D757</f>
        <v>44746</v>
      </c>
      <c r="B757" s="4">
        <f>YEAR(A757)</f>
        <v>2022</v>
      </c>
      <c r="C757" s="4" t="str">
        <f>TEXT(A757,"mmmm")</f>
        <v>July</v>
      </c>
      <c r="D757" s="4">
        <f>Raw_Data!A757</f>
        <v>23</v>
      </c>
      <c r="E757" s="4" t="str">
        <f>Raw_Data!B757</f>
        <v>h</v>
      </c>
      <c r="F757" s="4">
        <f>Raw_Data!C757</f>
        <v>571.01908590000005</v>
      </c>
    </row>
    <row r="758" spans="1:6" thickTop="1" thickBot="1" x14ac:dyDescent="0.35">
      <c r="A758" s="5">
        <f>Raw_Data!D758</f>
        <v>44790</v>
      </c>
      <c r="B758" s="4">
        <f>YEAR(A758)</f>
        <v>2022</v>
      </c>
      <c r="C758" s="4" t="str">
        <f>TEXT(A758,"mmmm")</f>
        <v>August</v>
      </c>
      <c r="D758" s="4">
        <f>Raw_Data!A758</f>
        <v>25</v>
      </c>
      <c r="E758" s="4" t="str">
        <f>Raw_Data!B758</f>
        <v>b</v>
      </c>
      <c r="F758" s="4">
        <f>Raw_Data!C758</f>
        <v>714.66895780000004</v>
      </c>
    </row>
    <row r="759" spans="1:6" thickTop="1" thickBot="1" x14ac:dyDescent="0.35">
      <c r="A759" s="5">
        <f>Raw_Data!D759</f>
        <v>44887</v>
      </c>
      <c r="B759" s="4">
        <f>YEAR(A759)</f>
        <v>2022</v>
      </c>
      <c r="C759" s="4" t="str">
        <f>TEXT(A759,"mmmm")</f>
        <v>November</v>
      </c>
      <c r="D759" s="4">
        <f>Raw_Data!A759</f>
        <v>15</v>
      </c>
      <c r="E759" s="4" t="str">
        <f>Raw_Data!B759</f>
        <v>b</v>
      </c>
      <c r="F759" s="4">
        <f>Raw_Data!C759</f>
        <v>309.03669250000002</v>
      </c>
    </row>
    <row r="760" spans="1:6" thickTop="1" thickBot="1" x14ac:dyDescent="0.35">
      <c r="A760" s="5">
        <f>Raw_Data!D760</f>
        <v>44693</v>
      </c>
      <c r="B760" s="4">
        <f>YEAR(A760)</f>
        <v>2022</v>
      </c>
      <c r="C760" s="4" t="str">
        <f>TEXT(A760,"mmmm")</f>
        <v>May</v>
      </c>
      <c r="D760" s="4">
        <f>Raw_Data!A760</f>
        <v>86</v>
      </c>
      <c r="E760" s="4" t="str">
        <f>Raw_Data!B760</f>
        <v>b</v>
      </c>
      <c r="F760" s="4">
        <f>Raw_Data!C760</f>
        <v>465.9597392</v>
      </c>
    </row>
    <row r="761" spans="1:6" thickTop="1" thickBot="1" x14ac:dyDescent="0.35">
      <c r="A761" s="5">
        <f>Raw_Data!D761</f>
        <v>44896</v>
      </c>
      <c r="B761" s="4">
        <f>YEAR(A761)</f>
        <v>2022</v>
      </c>
      <c r="C761" s="4" t="str">
        <f>TEXT(A761,"mmmm")</f>
        <v>December</v>
      </c>
      <c r="D761" s="4">
        <f>Raw_Data!A761</f>
        <v>72</v>
      </c>
      <c r="E761" s="4" t="str">
        <f>Raw_Data!B761</f>
        <v>c</v>
      </c>
      <c r="F761" s="4">
        <f>Raw_Data!C761</f>
        <v>293.36284619999998</v>
      </c>
    </row>
    <row r="762" spans="1:6" thickTop="1" thickBot="1" x14ac:dyDescent="0.35">
      <c r="A762" s="5">
        <f>Raw_Data!D762</f>
        <v>44868</v>
      </c>
      <c r="B762" s="4">
        <f>YEAR(A762)</f>
        <v>2022</v>
      </c>
      <c r="C762" s="4" t="str">
        <f>TEXT(A762,"mmmm")</f>
        <v>November</v>
      </c>
      <c r="D762" s="4">
        <f>Raw_Data!A762</f>
        <v>93</v>
      </c>
      <c r="E762" s="4" t="str">
        <f>Raw_Data!B762</f>
        <v>b</v>
      </c>
      <c r="F762" s="4">
        <f>Raw_Data!C762</f>
        <v>399.57055109999999</v>
      </c>
    </row>
    <row r="763" spans="1:6" thickTop="1" thickBot="1" x14ac:dyDescent="0.35">
      <c r="A763" s="5">
        <f>Raw_Data!D763</f>
        <v>44656</v>
      </c>
      <c r="B763" s="4">
        <f>YEAR(A763)</f>
        <v>2022</v>
      </c>
      <c r="C763" s="4" t="str">
        <f>TEXT(A763,"mmmm")</f>
        <v>April</v>
      </c>
      <c r="D763" s="4">
        <f>Raw_Data!A763</f>
        <v>21</v>
      </c>
      <c r="E763" s="4" t="str">
        <f>Raw_Data!B763</f>
        <v>i</v>
      </c>
      <c r="F763" s="4">
        <f>Raw_Data!C763</f>
        <v>556.45606910000004</v>
      </c>
    </row>
    <row r="764" spans="1:6" thickTop="1" thickBot="1" x14ac:dyDescent="0.35">
      <c r="A764" s="5">
        <f>Raw_Data!D764</f>
        <v>44699</v>
      </c>
      <c r="B764" s="4">
        <f>YEAR(A764)</f>
        <v>2022</v>
      </c>
      <c r="C764" s="4" t="str">
        <f>TEXT(A764,"mmmm")</f>
        <v>May</v>
      </c>
      <c r="D764" s="4">
        <f>Raw_Data!A764</f>
        <v>48</v>
      </c>
      <c r="E764" s="4" t="str">
        <f>Raw_Data!B764</f>
        <v>i</v>
      </c>
      <c r="F764" s="4">
        <f>Raw_Data!C764</f>
        <v>305.919263</v>
      </c>
    </row>
    <row r="765" spans="1:6" thickTop="1" thickBot="1" x14ac:dyDescent="0.35">
      <c r="A765" s="5">
        <f>Raw_Data!D765</f>
        <v>44644</v>
      </c>
      <c r="B765" s="4">
        <f>YEAR(A765)</f>
        <v>2022</v>
      </c>
      <c r="C765" s="4" t="str">
        <f>TEXT(A765,"mmmm")</f>
        <v>March</v>
      </c>
      <c r="D765" s="4">
        <f>Raw_Data!A765</f>
        <v>73</v>
      </c>
      <c r="E765" s="4" t="str">
        <f>Raw_Data!B765</f>
        <v>g</v>
      </c>
      <c r="F765" s="4">
        <f>Raw_Data!C765</f>
        <v>578.89533340000003</v>
      </c>
    </row>
    <row r="766" spans="1:6" thickTop="1" thickBot="1" x14ac:dyDescent="0.35">
      <c r="A766" s="5">
        <f>Raw_Data!D766</f>
        <v>44889</v>
      </c>
      <c r="B766" s="4">
        <f>YEAR(A766)</f>
        <v>2022</v>
      </c>
      <c r="C766" s="4" t="str">
        <f>TEXT(A766,"mmmm")</f>
        <v>November</v>
      </c>
      <c r="D766" s="4">
        <f>Raw_Data!A766</f>
        <v>98</v>
      </c>
      <c r="E766" s="4" t="str">
        <f>Raw_Data!B766</f>
        <v>e</v>
      </c>
      <c r="F766" s="4">
        <f>Raw_Data!C766</f>
        <v>386.95273470000001</v>
      </c>
    </row>
    <row r="767" spans="1:6" thickTop="1" thickBot="1" x14ac:dyDescent="0.35">
      <c r="A767" s="5">
        <f>Raw_Data!D767</f>
        <v>44608</v>
      </c>
      <c r="B767" s="4">
        <f>YEAR(A767)</f>
        <v>2022</v>
      </c>
      <c r="C767" s="4" t="str">
        <f>TEXT(A767,"mmmm")</f>
        <v>February</v>
      </c>
      <c r="D767" s="4">
        <f>Raw_Data!A767</f>
        <v>43</v>
      </c>
      <c r="E767" s="4" t="str">
        <f>Raw_Data!B767</f>
        <v>j</v>
      </c>
      <c r="F767" s="4">
        <f>Raw_Data!C767</f>
        <v>557.33813069999997</v>
      </c>
    </row>
    <row r="768" spans="1:6" thickTop="1" thickBot="1" x14ac:dyDescent="0.35">
      <c r="A768" s="5">
        <f>Raw_Data!D768</f>
        <v>44564</v>
      </c>
      <c r="B768" s="4">
        <f>YEAR(A768)</f>
        <v>2022</v>
      </c>
      <c r="C768" s="4" t="str">
        <f>TEXT(A768,"mmmm")</f>
        <v>January</v>
      </c>
      <c r="D768" s="4">
        <f>Raw_Data!A768</f>
        <v>56</v>
      </c>
      <c r="E768" s="4" t="str">
        <f>Raw_Data!B768</f>
        <v>f</v>
      </c>
      <c r="F768" s="4">
        <f>Raw_Data!C768</f>
        <v>406.5068109</v>
      </c>
    </row>
    <row r="769" spans="1:6" thickTop="1" thickBot="1" x14ac:dyDescent="0.35">
      <c r="A769" s="5">
        <f>Raw_Data!D769</f>
        <v>44858</v>
      </c>
      <c r="B769" s="4">
        <f>YEAR(A769)</f>
        <v>2022</v>
      </c>
      <c r="C769" s="4" t="str">
        <f>TEXT(A769,"mmmm")</f>
        <v>October</v>
      </c>
      <c r="D769" s="4">
        <f>Raw_Data!A769</f>
        <v>75</v>
      </c>
      <c r="E769" s="4" t="str">
        <f>Raw_Data!B769</f>
        <v>b</v>
      </c>
      <c r="F769" s="4">
        <f>Raw_Data!C769</f>
        <v>458.99993410000002</v>
      </c>
    </row>
    <row r="770" spans="1:6" thickTop="1" thickBot="1" x14ac:dyDescent="0.35">
      <c r="A770" s="5">
        <f>Raw_Data!D770</f>
        <v>44693</v>
      </c>
      <c r="B770" s="4">
        <f>YEAR(A770)</f>
        <v>2022</v>
      </c>
      <c r="C770" s="4" t="str">
        <f>TEXT(A770,"mmmm")</f>
        <v>May</v>
      </c>
      <c r="D770" s="4">
        <f>Raw_Data!A770</f>
        <v>4</v>
      </c>
      <c r="E770" s="4" t="str">
        <f>Raw_Data!B770</f>
        <v>a</v>
      </c>
      <c r="F770" s="4">
        <f>Raw_Data!C770</f>
        <v>515.69110609999996</v>
      </c>
    </row>
    <row r="771" spans="1:6" thickTop="1" thickBot="1" x14ac:dyDescent="0.35">
      <c r="A771" s="5">
        <f>Raw_Data!D771</f>
        <v>44740</v>
      </c>
      <c r="B771" s="4">
        <f>YEAR(A771)</f>
        <v>2022</v>
      </c>
      <c r="C771" s="4" t="str">
        <f>TEXT(A771,"mmmm")</f>
        <v>June</v>
      </c>
      <c r="D771" s="4">
        <f>Raw_Data!A771</f>
        <v>71</v>
      </c>
      <c r="E771" s="4" t="str">
        <f>Raw_Data!B771</f>
        <v>b</v>
      </c>
      <c r="F771" s="4">
        <f>Raw_Data!C771</f>
        <v>442.23667569999998</v>
      </c>
    </row>
    <row r="772" spans="1:6" thickTop="1" thickBot="1" x14ac:dyDescent="0.35">
      <c r="A772" s="5">
        <f>Raw_Data!D772</f>
        <v>44702</v>
      </c>
      <c r="B772" s="4">
        <f>YEAR(A772)</f>
        <v>2022</v>
      </c>
      <c r="C772" s="4" t="str">
        <f>TEXT(A772,"mmmm")</f>
        <v>May</v>
      </c>
      <c r="D772" s="4">
        <f>Raw_Data!A772</f>
        <v>56</v>
      </c>
      <c r="E772" s="4" t="str">
        <f>Raw_Data!B772</f>
        <v>b</v>
      </c>
      <c r="F772" s="4">
        <f>Raw_Data!C772</f>
        <v>553.60049400000003</v>
      </c>
    </row>
    <row r="773" spans="1:6" thickTop="1" thickBot="1" x14ac:dyDescent="0.35">
      <c r="A773" s="5">
        <f>Raw_Data!D773</f>
        <v>44829</v>
      </c>
      <c r="B773" s="4">
        <f>YEAR(A773)</f>
        <v>2022</v>
      </c>
      <c r="C773" s="4" t="str">
        <f>TEXT(A773,"mmmm")</f>
        <v>September</v>
      </c>
      <c r="D773" s="4">
        <f>Raw_Data!A773</f>
        <v>50</v>
      </c>
      <c r="E773" s="4" t="str">
        <f>Raw_Data!B773</f>
        <v>j</v>
      </c>
      <c r="F773" s="4">
        <f>Raw_Data!C773</f>
        <v>556.85861130000001</v>
      </c>
    </row>
    <row r="774" spans="1:6" thickTop="1" thickBot="1" x14ac:dyDescent="0.35">
      <c r="A774" s="5">
        <f>Raw_Data!D774</f>
        <v>44824</v>
      </c>
      <c r="B774" s="4">
        <f>YEAR(A774)</f>
        <v>2022</v>
      </c>
      <c r="C774" s="4" t="str">
        <f>TEXT(A774,"mmmm")</f>
        <v>September</v>
      </c>
      <c r="D774" s="4">
        <f>Raw_Data!A774</f>
        <v>11</v>
      </c>
      <c r="E774" s="4" t="str">
        <f>Raw_Data!B774</f>
        <v>e</v>
      </c>
      <c r="F774" s="4">
        <f>Raw_Data!C774</f>
        <v>476.78596700000003</v>
      </c>
    </row>
    <row r="775" spans="1:6" thickTop="1" thickBot="1" x14ac:dyDescent="0.35">
      <c r="A775" s="5">
        <f>Raw_Data!D775</f>
        <v>44574</v>
      </c>
      <c r="B775" s="4">
        <f>YEAR(A775)</f>
        <v>2022</v>
      </c>
      <c r="C775" s="4" t="str">
        <f>TEXT(A775,"mmmm")</f>
        <v>January</v>
      </c>
      <c r="D775" s="4">
        <f>Raw_Data!A775</f>
        <v>97</v>
      </c>
      <c r="E775" s="4" t="str">
        <f>Raw_Data!B775</f>
        <v>h</v>
      </c>
      <c r="F775" s="4">
        <f>Raw_Data!C775</f>
        <v>303.07642720000001</v>
      </c>
    </row>
    <row r="776" spans="1:6" thickTop="1" thickBot="1" x14ac:dyDescent="0.35">
      <c r="A776" s="5">
        <f>Raw_Data!D776</f>
        <v>44696</v>
      </c>
      <c r="B776" s="4">
        <f>YEAR(A776)</f>
        <v>2022</v>
      </c>
      <c r="C776" s="4" t="str">
        <f>TEXT(A776,"mmmm")</f>
        <v>May</v>
      </c>
      <c r="D776" s="4">
        <f>Raw_Data!A776</f>
        <v>75</v>
      </c>
      <c r="E776" s="4" t="str">
        <f>Raw_Data!B776</f>
        <v>c</v>
      </c>
      <c r="F776" s="4">
        <f>Raw_Data!C776</f>
        <v>521.87623240000005</v>
      </c>
    </row>
    <row r="777" spans="1:6" thickTop="1" thickBot="1" x14ac:dyDescent="0.35">
      <c r="A777" s="5">
        <f>Raw_Data!D777</f>
        <v>44737</v>
      </c>
      <c r="B777" s="4">
        <f>YEAR(A777)</f>
        <v>2022</v>
      </c>
      <c r="C777" s="4" t="str">
        <f>TEXT(A777,"mmmm")</f>
        <v>June</v>
      </c>
      <c r="D777" s="4">
        <f>Raw_Data!A777</f>
        <v>60</v>
      </c>
      <c r="E777" s="4" t="str">
        <f>Raw_Data!B777</f>
        <v>b</v>
      </c>
      <c r="F777" s="4">
        <f>Raw_Data!C777</f>
        <v>329.81490230000003</v>
      </c>
    </row>
    <row r="778" spans="1:6" thickTop="1" thickBot="1" x14ac:dyDescent="0.35">
      <c r="A778" s="5">
        <f>Raw_Data!D778</f>
        <v>44631</v>
      </c>
      <c r="B778" s="4">
        <f>YEAR(A778)</f>
        <v>2022</v>
      </c>
      <c r="C778" s="4" t="str">
        <f>TEXT(A778,"mmmm")</f>
        <v>March</v>
      </c>
      <c r="D778" s="4">
        <f>Raw_Data!A778</f>
        <v>85</v>
      </c>
      <c r="E778" s="4" t="str">
        <f>Raw_Data!B778</f>
        <v>h</v>
      </c>
      <c r="F778" s="4">
        <f>Raw_Data!C778</f>
        <v>612.70693159999996</v>
      </c>
    </row>
    <row r="779" spans="1:6" thickTop="1" thickBot="1" x14ac:dyDescent="0.35">
      <c r="A779" s="5">
        <f>Raw_Data!D779</f>
        <v>44761</v>
      </c>
      <c r="B779" s="4">
        <f>YEAR(A779)</f>
        <v>2022</v>
      </c>
      <c r="C779" s="4" t="str">
        <f>TEXT(A779,"mmmm")</f>
        <v>July</v>
      </c>
      <c r="D779" s="4">
        <f>Raw_Data!A779</f>
        <v>74</v>
      </c>
      <c r="E779" s="4" t="str">
        <f>Raw_Data!B779</f>
        <v>i</v>
      </c>
      <c r="F779" s="4">
        <f>Raw_Data!C779</f>
        <v>527.84610339999995</v>
      </c>
    </row>
    <row r="780" spans="1:6" thickTop="1" thickBot="1" x14ac:dyDescent="0.35">
      <c r="A780" s="5">
        <f>Raw_Data!D780</f>
        <v>44742</v>
      </c>
      <c r="B780" s="4">
        <f>YEAR(A780)</f>
        <v>2022</v>
      </c>
      <c r="C780" s="4" t="str">
        <f>TEXT(A780,"mmmm")</f>
        <v>June</v>
      </c>
      <c r="D780" s="4">
        <f>Raw_Data!A780</f>
        <v>67</v>
      </c>
      <c r="E780" s="4" t="str">
        <f>Raw_Data!B780</f>
        <v>i</v>
      </c>
      <c r="F780" s="4">
        <f>Raw_Data!C780</f>
        <v>583.05414870000004</v>
      </c>
    </row>
    <row r="781" spans="1:6" thickTop="1" thickBot="1" x14ac:dyDescent="0.35">
      <c r="A781" s="5">
        <f>Raw_Data!D781</f>
        <v>44847</v>
      </c>
      <c r="B781" s="4">
        <f>YEAR(A781)</f>
        <v>2022</v>
      </c>
      <c r="C781" s="4" t="str">
        <f>TEXT(A781,"mmmm")</f>
        <v>October</v>
      </c>
      <c r="D781" s="4">
        <f>Raw_Data!A781</f>
        <v>99</v>
      </c>
      <c r="E781" s="4" t="str">
        <f>Raw_Data!B781</f>
        <v>g</v>
      </c>
      <c r="F781" s="4">
        <f>Raw_Data!C781</f>
        <v>552.53779680000002</v>
      </c>
    </row>
    <row r="782" spans="1:6" thickTop="1" thickBot="1" x14ac:dyDescent="0.35">
      <c r="A782" s="5">
        <f>Raw_Data!D782</f>
        <v>44913</v>
      </c>
      <c r="B782" s="4">
        <f>YEAR(A782)</f>
        <v>2022</v>
      </c>
      <c r="C782" s="4" t="str">
        <f>TEXT(A782,"mmmm")</f>
        <v>December</v>
      </c>
      <c r="D782" s="4">
        <f>Raw_Data!A782</f>
        <v>98</v>
      </c>
      <c r="E782" s="4" t="str">
        <f>Raw_Data!B782</f>
        <v>b</v>
      </c>
      <c r="F782" s="4">
        <f>Raw_Data!C782</f>
        <v>499.40855299999998</v>
      </c>
    </row>
    <row r="783" spans="1:6" thickTop="1" thickBot="1" x14ac:dyDescent="0.35">
      <c r="A783" s="5">
        <f>Raw_Data!D783</f>
        <v>44789</v>
      </c>
      <c r="B783" s="4">
        <f>YEAR(A783)</f>
        <v>2022</v>
      </c>
      <c r="C783" s="4" t="str">
        <f>TEXT(A783,"mmmm")</f>
        <v>August</v>
      </c>
      <c r="D783" s="4">
        <f>Raw_Data!A783</f>
        <v>58</v>
      </c>
      <c r="E783" s="4" t="str">
        <f>Raw_Data!B783</f>
        <v>e</v>
      </c>
      <c r="F783" s="4">
        <f>Raw_Data!C783</f>
        <v>479.5953695</v>
      </c>
    </row>
    <row r="784" spans="1:6" thickTop="1" thickBot="1" x14ac:dyDescent="0.35">
      <c r="A784" s="5">
        <f>Raw_Data!D784</f>
        <v>44602</v>
      </c>
      <c r="B784" s="4">
        <f>YEAR(A784)</f>
        <v>2022</v>
      </c>
      <c r="C784" s="4" t="str">
        <f>TEXT(A784,"mmmm")</f>
        <v>February</v>
      </c>
      <c r="D784" s="4">
        <f>Raw_Data!A784</f>
        <v>40</v>
      </c>
      <c r="E784" s="4" t="str">
        <f>Raw_Data!B784</f>
        <v>i</v>
      </c>
      <c r="F784" s="4">
        <f>Raw_Data!C784</f>
        <v>447.71922510000002</v>
      </c>
    </row>
    <row r="785" spans="1:6" thickTop="1" thickBot="1" x14ac:dyDescent="0.35">
      <c r="A785" s="5">
        <f>Raw_Data!D785</f>
        <v>44611</v>
      </c>
      <c r="B785" s="4">
        <f>YEAR(A785)</f>
        <v>2022</v>
      </c>
      <c r="C785" s="4" t="str">
        <f>TEXT(A785,"mmmm")</f>
        <v>February</v>
      </c>
      <c r="D785" s="4">
        <f>Raw_Data!A785</f>
        <v>92</v>
      </c>
      <c r="E785" s="4" t="str">
        <f>Raw_Data!B785</f>
        <v>c</v>
      </c>
      <c r="F785" s="4">
        <f>Raw_Data!C785</f>
        <v>440.38990610000002</v>
      </c>
    </row>
    <row r="786" spans="1:6" thickTop="1" thickBot="1" x14ac:dyDescent="0.35">
      <c r="A786" s="5">
        <f>Raw_Data!D786</f>
        <v>44767</v>
      </c>
      <c r="B786" s="4">
        <f>YEAR(A786)</f>
        <v>2022</v>
      </c>
      <c r="C786" s="4" t="str">
        <f>TEXT(A786,"mmmm")</f>
        <v>July</v>
      </c>
      <c r="D786" s="4">
        <f>Raw_Data!A786</f>
        <v>13</v>
      </c>
      <c r="E786" s="4" t="str">
        <f>Raw_Data!B786</f>
        <v>j</v>
      </c>
      <c r="F786" s="4">
        <f>Raw_Data!C786</f>
        <v>424.52363259999998</v>
      </c>
    </row>
    <row r="787" spans="1:6" thickTop="1" thickBot="1" x14ac:dyDescent="0.35">
      <c r="A787" s="5">
        <f>Raw_Data!D787</f>
        <v>44787</v>
      </c>
      <c r="B787" s="4">
        <f>YEAR(A787)</f>
        <v>2022</v>
      </c>
      <c r="C787" s="4" t="str">
        <f>TEXT(A787,"mmmm")</f>
        <v>August</v>
      </c>
      <c r="D787" s="4">
        <f>Raw_Data!A787</f>
        <v>8</v>
      </c>
      <c r="E787" s="4" t="str">
        <f>Raw_Data!B787</f>
        <v>i</v>
      </c>
      <c r="F787" s="4">
        <f>Raw_Data!C787</f>
        <v>640.92757219999999</v>
      </c>
    </row>
    <row r="788" spans="1:6" thickTop="1" thickBot="1" x14ac:dyDescent="0.35">
      <c r="A788" s="5">
        <f>Raw_Data!D788</f>
        <v>44608</v>
      </c>
      <c r="B788" s="4">
        <f>YEAR(A788)</f>
        <v>2022</v>
      </c>
      <c r="C788" s="4" t="str">
        <f>TEXT(A788,"mmmm")</f>
        <v>February</v>
      </c>
      <c r="D788" s="4">
        <f>Raw_Data!A788</f>
        <v>2</v>
      </c>
      <c r="E788" s="4" t="str">
        <f>Raw_Data!B788</f>
        <v>e</v>
      </c>
      <c r="F788" s="4">
        <f>Raw_Data!C788</f>
        <v>436.12740059999999</v>
      </c>
    </row>
    <row r="789" spans="1:6" thickTop="1" thickBot="1" x14ac:dyDescent="0.35">
      <c r="A789" s="5">
        <f>Raw_Data!D789</f>
        <v>44824</v>
      </c>
      <c r="B789" s="4">
        <f>YEAR(A789)</f>
        <v>2022</v>
      </c>
      <c r="C789" s="4" t="str">
        <f>TEXT(A789,"mmmm")</f>
        <v>September</v>
      </c>
      <c r="D789" s="4">
        <f>Raw_Data!A789</f>
        <v>6</v>
      </c>
      <c r="E789" s="4" t="str">
        <f>Raw_Data!B789</f>
        <v>h</v>
      </c>
      <c r="F789" s="4">
        <f>Raw_Data!C789</f>
        <v>515.99477999999999</v>
      </c>
    </row>
    <row r="790" spans="1:6" thickTop="1" thickBot="1" x14ac:dyDescent="0.35">
      <c r="A790" s="5">
        <f>Raw_Data!D790</f>
        <v>44884</v>
      </c>
      <c r="B790" s="4">
        <f>YEAR(A790)</f>
        <v>2022</v>
      </c>
      <c r="C790" s="4" t="str">
        <f>TEXT(A790,"mmmm")</f>
        <v>November</v>
      </c>
      <c r="D790" s="4">
        <f>Raw_Data!A790</f>
        <v>87</v>
      </c>
      <c r="E790" s="4" t="str">
        <f>Raw_Data!B790</f>
        <v>b</v>
      </c>
      <c r="F790" s="4">
        <f>Raw_Data!C790</f>
        <v>544.21297259999994</v>
      </c>
    </row>
    <row r="791" spans="1:6" thickTop="1" thickBot="1" x14ac:dyDescent="0.35">
      <c r="A791" s="5">
        <f>Raw_Data!D791</f>
        <v>44722</v>
      </c>
      <c r="B791" s="4">
        <f>YEAR(A791)</f>
        <v>2022</v>
      </c>
      <c r="C791" s="4" t="str">
        <f>TEXT(A791,"mmmm")</f>
        <v>June</v>
      </c>
      <c r="D791" s="4">
        <f>Raw_Data!A791</f>
        <v>17</v>
      </c>
      <c r="E791" s="4" t="str">
        <f>Raw_Data!B791</f>
        <v>f</v>
      </c>
      <c r="F791" s="4">
        <f>Raw_Data!C791</f>
        <v>275.51300650000002</v>
      </c>
    </row>
    <row r="792" spans="1:6" thickTop="1" thickBot="1" x14ac:dyDescent="0.35">
      <c r="A792" s="5">
        <f>Raw_Data!D792</f>
        <v>44652</v>
      </c>
      <c r="B792" s="4">
        <f>YEAR(A792)</f>
        <v>2022</v>
      </c>
      <c r="C792" s="4" t="str">
        <f>TEXT(A792,"mmmm")</f>
        <v>April</v>
      </c>
      <c r="D792" s="4">
        <f>Raw_Data!A792</f>
        <v>32</v>
      </c>
      <c r="E792" s="4" t="str">
        <f>Raw_Data!B792</f>
        <v>h</v>
      </c>
      <c r="F792" s="4">
        <f>Raw_Data!C792</f>
        <v>417.80888270000003</v>
      </c>
    </row>
    <row r="793" spans="1:6" thickTop="1" thickBot="1" x14ac:dyDescent="0.35">
      <c r="A793" s="5">
        <f>Raw_Data!D793</f>
        <v>44720</v>
      </c>
      <c r="B793" s="4">
        <f>YEAR(A793)</f>
        <v>2022</v>
      </c>
      <c r="C793" s="4" t="str">
        <f>TEXT(A793,"mmmm")</f>
        <v>June</v>
      </c>
      <c r="D793" s="4">
        <f>Raw_Data!A793</f>
        <v>78</v>
      </c>
      <c r="E793" s="4" t="str">
        <f>Raw_Data!B793</f>
        <v>f</v>
      </c>
      <c r="F793" s="4">
        <f>Raw_Data!C793</f>
        <v>400.35000129999997</v>
      </c>
    </row>
    <row r="794" spans="1:6" thickTop="1" thickBot="1" x14ac:dyDescent="0.35">
      <c r="A794" s="5">
        <f>Raw_Data!D794</f>
        <v>44861</v>
      </c>
      <c r="B794" s="4">
        <f>YEAR(A794)</f>
        <v>2022</v>
      </c>
      <c r="C794" s="4" t="str">
        <f>TEXT(A794,"mmmm")</f>
        <v>October</v>
      </c>
      <c r="D794" s="4">
        <f>Raw_Data!A794</f>
        <v>71</v>
      </c>
      <c r="E794" s="4" t="str">
        <f>Raw_Data!B794</f>
        <v>j</v>
      </c>
      <c r="F794" s="4">
        <f>Raw_Data!C794</f>
        <v>529.17231730000003</v>
      </c>
    </row>
    <row r="795" spans="1:6" thickTop="1" thickBot="1" x14ac:dyDescent="0.35">
      <c r="A795" s="5">
        <f>Raw_Data!D795</f>
        <v>44661</v>
      </c>
      <c r="B795" s="4">
        <f>YEAR(A795)</f>
        <v>2022</v>
      </c>
      <c r="C795" s="4" t="str">
        <f>TEXT(A795,"mmmm")</f>
        <v>April</v>
      </c>
      <c r="D795" s="4">
        <f>Raw_Data!A795</f>
        <v>77</v>
      </c>
      <c r="E795" s="4" t="str">
        <f>Raw_Data!B795</f>
        <v>f</v>
      </c>
      <c r="F795" s="4">
        <f>Raw_Data!C795</f>
        <v>476.28118569999998</v>
      </c>
    </row>
    <row r="796" spans="1:6" thickTop="1" thickBot="1" x14ac:dyDescent="0.35">
      <c r="A796" s="5">
        <f>Raw_Data!D796</f>
        <v>44730</v>
      </c>
      <c r="B796" s="4">
        <f>YEAR(A796)</f>
        <v>2022</v>
      </c>
      <c r="C796" s="4" t="str">
        <f>TEXT(A796,"mmmm")</f>
        <v>June</v>
      </c>
      <c r="D796" s="4">
        <f>Raw_Data!A796</f>
        <v>72</v>
      </c>
      <c r="E796" s="4" t="str">
        <f>Raw_Data!B796</f>
        <v>d</v>
      </c>
      <c r="F796" s="4">
        <f>Raw_Data!C796</f>
        <v>475.31330630000002</v>
      </c>
    </row>
    <row r="797" spans="1:6" thickTop="1" thickBot="1" x14ac:dyDescent="0.35">
      <c r="A797" s="5">
        <f>Raw_Data!D797</f>
        <v>44754</v>
      </c>
      <c r="B797" s="4">
        <f>YEAR(A797)</f>
        <v>2022</v>
      </c>
      <c r="C797" s="4" t="str">
        <f>TEXT(A797,"mmmm")</f>
        <v>July</v>
      </c>
      <c r="D797" s="4">
        <f>Raw_Data!A797</f>
        <v>75</v>
      </c>
      <c r="E797" s="4" t="str">
        <f>Raw_Data!B797</f>
        <v>a</v>
      </c>
      <c r="F797" s="4">
        <f>Raw_Data!C797</f>
        <v>531.77039460000003</v>
      </c>
    </row>
    <row r="798" spans="1:6" thickTop="1" thickBot="1" x14ac:dyDescent="0.35">
      <c r="A798" s="5">
        <f>Raw_Data!D798</f>
        <v>44867</v>
      </c>
      <c r="B798" s="4">
        <f>YEAR(A798)</f>
        <v>2022</v>
      </c>
      <c r="C798" s="4" t="str">
        <f>TEXT(A798,"mmmm")</f>
        <v>November</v>
      </c>
      <c r="D798" s="4">
        <f>Raw_Data!A798</f>
        <v>17</v>
      </c>
      <c r="E798" s="4" t="str">
        <f>Raw_Data!B798</f>
        <v>h</v>
      </c>
      <c r="F798" s="4">
        <f>Raw_Data!C798</f>
        <v>459.29420750000003</v>
      </c>
    </row>
    <row r="799" spans="1:6" thickTop="1" thickBot="1" x14ac:dyDescent="0.35">
      <c r="A799" s="5">
        <f>Raw_Data!D799</f>
        <v>44738</v>
      </c>
      <c r="B799" s="4">
        <f>YEAR(A799)</f>
        <v>2022</v>
      </c>
      <c r="C799" s="4" t="str">
        <f>TEXT(A799,"mmmm")</f>
        <v>June</v>
      </c>
      <c r="D799" s="4">
        <f>Raw_Data!A799</f>
        <v>71</v>
      </c>
      <c r="E799" s="4" t="str">
        <f>Raw_Data!B799</f>
        <v>i</v>
      </c>
      <c r="F799" s="4">
        <f>Raw_Data!C799</f>
        <v>459.16719949999998</v>
      </c>
    </row>
    <row r="800" spans="1:6" thickTop="1" thickBot="1" x14ac:dyDescent="0.35">
      <c r="A800" s="5">
        <f>Raw_Data!D800</f>
        <v>44762</v>
      </c>
      <c r="B800" s="4">
        <f>YEAR(A800)</f>
        <v>2022</v>
      </c>
      <c r="C800" s="4" t="str">
        <f>TEXT(A800,"mmmm")</f>
        <v>July</v>
      </c>
      <c r="D800" s="4">
        <f>Raw_Data!A800</f>
        <v>55</v>
      </c>
      <c r="E800" s="4" t="str">
        <f>Raw_Data!B800</f>
        <v>f</v>
      </c>
      <c r="F800" s="4">
        <f>Raw_Data!C800</f>
        <v>564.70809889999998</v>
      </c>
    </row>
    <row r="801" spans="1:6" thickTop="1" thickBot="1" x14ac:dyDescent="0.35">
      <c r="A801" s="5">
        <f>Raw_Data!D801</f>
        <v>44748</v>
      </c>
      <c r="B801" s="4">
        <f>YEAR(A801)</f>
        <v>2022</v>
      </c>
      <c r="C801" s="4" t="str">
        <f>TEXT(A801,"mmmm")</f>
        <v>July</v>
      </c>
      <c r="D801" s="4">
        <f>Raw_Data!A801</f>
        <v>19</v>
      </c>
      <c r="E801" s="4" t="str">
        <f>Raw_Data!B801</f>
        <v>f</v>
      </c>
      <c r="F801" s="4">
        <f>Raw_Data!C801</f>
        <v>340.68503959999998</v>
      </c>
    </row>
    <row r="802" spans="1:6" thickTop="1" thickBot="1" x14ac:dyDescent="0.35">
      <c r="A802" s="5">
        <f>Raw_Data!D802</f>
        <v>44596</v>
      </c>
      <c r="B802" s="4">
        <f>YEAR(A802)</f>
        <v>2022</v>
      </c>
      <c r="C802" s="4" t="str">
        <f>TEXT(A802,"mmmm")</f>
        <v>February</v>
      </c>
      <c r="D802" s="4">
        <f>Raw_Data!A802</f>
        <v>15</v>
      </c>
      <c r="E802" s="4" t="str">
        <f>Raw_Data!B802</f>
        <v>b</v>
      </c>
      <c r="F802" s="4">
        <f>Raw_Data!C802</f>
        <v>539.37195510000004</v>
      </c>
    </row>
    <row r="803" spans="1:6" thickTop="1" thickBot="1" x14ac:dyDescent="0.35">
      <c r="A803" s="5">
        <f>Raw_Data!D803</f>
        <v>44733</v>
      </c>
      <c r="B803" s="4">
        <f>YEAR(A803)</f>
        <v>2022</v>
      </c>
      <c r="C803" s="4" t="str">
        <f>TEXT(A803,"mmmm")</f>
        <v>June</v>
      </c>
      <c r="D803" s="4">
        <f>Raw_Data!A803</f>
        <v>46</v>
      </c>
      <c r="E803" s="4" t="str">
        <f>Raw_Data!B803</f>
        <v>i</v>
      </c>
      <c r="F803" s="4">
        <f>Raw_Data!C803</f>
        <v>409.89231380000001</v>
      </c>
    </row>
    <row r="804" spans="1:6" thickTop="1" thickBot="1" x14ac:dyDescent="0.35">
      <c r="A804" s="5">
        <f>Raw_Data!D804</f>
        <v>44917</v>
      </c>
      <c r="B804" s="4">
        <f>YEAR(A804)</f>
        <v>2022</v>
      </c>
      <c r="C804" s="4" t="str">
        <f>TEXT(A804,"mmmm")</f>
        <v>December</v>
      </c>
      <c r="D804" s="4">
        <f>Raw_Data!A804</f>
        <v>14</v>
      </c>
      <c r="E804" s="4" t="str">
        <f>Raw_Data!B804</f>
        <v>h</v>
      </c>
      <c r="F804" s="4">
        <f>Raw_Data!C804</f>
        <v>386.83763099999999</v>
      </c>
    </row>
    <row r="805" spans="1:6" thickTop="1" thickBot="1" x14ac:dyDescent="0.35">
      <c r="A805" s="5">
        <f>Raw_Data!D805</f>
        <v>44897</v>
      </c>
      <c r="B805" s="4">
        <f>YEAR(A805)</f>
        <v>2022</v>
      </c>
      <c r="C805" s="4" t="str">
        <f>TEXT(A805,"mmmm")</f>
        <v>December</v>
      </c>
      <c r="D805" s="4">
        <f>Raw_Data!A805</f>
        <v>90</v>
      </c>
      <c r="E805" s="4" t="str">
        <f>Raw_Data!B805</f>
        <v>c</v>
      </c>
      <c r="F805" s="4">
        <f>Raw_Data!C805</f>
        <v>500.50201320000002</v>
      </c>
    </row>
    <row r="806" spans="1:6" thickTop="1" thickBot="1" x14ac:dyDescent="0.35">
      <c r="A806" s="5">
        <f>Raw_Data!D806</f>
        <v>44675</v>
      </c>
      <c r="B806" s="4">
        <f>YEAR(A806)</f>
        <v>2022</v>
      </c>
      <c r="C806" s="4" t="str">
        <f>TEXT(A806,"mmmm")</f>
        <v>April</v>
      </c>
      <c r="D806" s="4">
        <f>Raw_Data!A806</f>
        <v>27</v>
      </c>
      <c r="E806" s="4" t="str">
        <f>Raw_Data!B806</f>
        <v>j</v>
      </c>
      <c r="F806" s="4">
        <f>Raw_Data!C806</f>
        <v>613.98057700000004</v>
      </c>
    </row>
    <row r="807" spans="1:6" thickTop="1" thickBot="1" x14ac:dyDescent="0.35">
      <c r="A807" s="5">
        <f>Raw_Data!D807</f>
        <v>44830</v>
      </c>
      <c r="B807" s="4">
        <f>YEAR(A807)</f>
        <v>2022</v>
      </c>
      <c r="C807" s="4" t="str">
        <f>TEXT(A807,"mmmm")</f>
        <v>September</v>
      </c>
      <c r="D807" s="4">
        <f>Raw_Data!A807</f>
        <v>81</v>
      </c>
      <c r="E807" s="4" t="str">
        <f>Raw_Data!B807</f>
        <v>c</v>
      </c>
      <c r="F807" s="4">
        <f>Raw_Data!C807</f>
        <v>570.53485079999996</v>
      </c>
    </row>
    <row r="808" spans="1:6" thickTop="1" thickBot="1" x14ac:dyDescent="0.35">
      <c r="A808" s="5">
        <f>Raw_Data!D808</f>
        <v>44599</v>
      </c>
      <c r="B808" s="4">
        <f>YEAR(A808)</f>
        <v>2022</v>
      </c>
      <c r="C808" s="4" t="str">
        <f>TEXT(A808,"mmmm")</f>
        <v>February</v>
      </c>
      <c r="D808" s="4">
        <f>Raw_Data!A808</f>
        <v>33</v>
      </c>
      <c r="E808" s="4" t="str">
        <f>Raw_Data!B808</f>
        <v>i</v>
      </c>
      <c r="F808" s="4">
        <f>Raw_Data!C808</f>
        <v>399.16877629999999</v>
      </c>
    </row>
    <row r="809" spans="1:6" thickTop="1" thickBot="1" x14ac:dyDescent="0.35">
      <c r="A809" s="5">
        <f>Raw_Data!D809</f>
        <v>44834</v>
      </c>
      <c r="B809" s="4">
        <f>YEAR(A809)</f>
        <v>2022</v>
      </c>
      <c r="C809" s="4" t="str">
        <f>TEXT(A809,"mmmm")</f>
        <v>September</v>
      </c>
      <c r="D809" s="4">
        <f>Raw_Data!A809</f>
        <v>50</v>
      </c>
      <c r="E809" s="4" t="str">
        <f>Raw_Data!B809</f>
        <v>f</v>
      </c>
      <c r="F809" s="4">
        <f>Raw_Data!C809</f>
        <v>620.73714759999996</v>
      </c>
    </row>
    <row r="810" spans="1:6" thickTop="1" thickBot="1" x14ac:dyDescent="0.35">
      <c r="A810" s="5">
        <f>Raw_Data!D810</f>
        <v>44750</v>
      </c>
      <c r="B810" s="4">
        <f>YEAR(A810)</f>
        <v>2022</v>
      </c>
      <c r="C810" s="4" t="str">
        <f>TEXT(A810,"mmmm")</f>
        <v>July</v>
      </c>
      <c r="D810" s="4">
        <f>Raw_Data!A810</f>
        <v>18</v>
      </c>
      <c r="E810" s="4" t="str">
        <f>Raw_Data!B810</f>
        <v>g</v>
      </c>
      <c r="F810" s="4">
        <f>Raw_Data!C810</f>
        <v>489.1501715</v>
      </c>
    </row>
    <row r="811" spans="1:6" thickTop="1" thickBot="1" x14ac:dyDescent="0.35">
      <c r="A811" s="5">
        <f>Raw_Data!D811</f>
        <v>44583</v>
      </c>
      <c r="B811" s="4">
        <f>YEAR(A811)</f>
        <v>2022</v>
      </c>
      <c r="C811" s="4" t="str">
        <f>TEXT(A811,"mmmm")</f>
        <v>January</v>
      </c>
      <c r="D811" s="4">
        <f>Raw_Data!A811</f>
        <v>20</v>
      </c>
      <c r="E811" s="4" t="str">
        <f>Raw_Data!B811</f>
        <v>j</v>
      </c>
      <c r="F811" s="4">
        <f>Raw_Data!C811</f>
        <v>554.50972569999999</v>
      </c>
    </row>
    <row r="812" spans="1:6" thickTop="1" thickBot="1" x14ac:dyDescent="0.35">
      <c r="A812" s="5">
        <f>Raw_Data!D812</f>
        <v>44740</v>
      </c>
      <c r="B812" s="4">
        <f>YEAR(A812)</f>
        <v>2022</v>
      </c>
      <c r="C812" s="4" t="str">
        <f>TEXT(A812,"mmmm")</f>
        <v>June</v>
      </c>
      <c r="D812" s="4">
        <f>Raw_Data!A812</f>
        <v>91</v>
      </c>
      <c r="E812" s="4" t="str">
        <f>Raw_Data!B812</f>
        <v>g</v>
      </c>
      <c r="F812" s="4">
        <f>Raw_Data!C812</f>
        <v>637.84856820000005</v>
      </c>
    </row>
    <row r="813" spans="1:6" thickTop="1" thickBot="1" x14ac:dyDescent="0.35">
      <c r="A813" s="5">
        <f>Raw_Data!D813</f>
        <v>44618</v>
      </c>
      <c r="B813" s="4">
        <f>YEAR(A813)</f>
        <v>2022</v>
      </c>
      <c r="C813" s="4" t="str">
        <f>TEXT(A813,"mmmm")</f>
        <v>February</v>
      </c>
      <c r="D813" s="4">
        <f>Raw_Data!A813</f>
        <v>42</v>
      </c>
      <c r="E813" s="4" t="str">
        <f>Raw_Data!B813</f>
        <v>e</v>
      </c>
      <c r="F813" s="4">
        <f>Raw_Data!C813</f>
        <v>483.63231039999999</v>
      </c>
    </row>
    <row r="814" spans="1:6" thickTop="1" thickBot="1" x14ac:dyDescent="0.35">
      <c r="A814" s="5">
        <f>Raw_Data!D814</f>
        <v>44870</v>
      </c>
      <c r="B814" s="4">
        <f>YEAR(A814)</f>
        <v>2022</v>
      </c>
      <c r="C814" s="4" t="str">
        <f>TEXT(A814,"mmmm")</f>
        <v>November</v>
      </c>
      <c r="D814" s="4">
        <f>Raw_Data!A814</f>
        <v>74</v>
      </c>
      <c r="E814" s="4" t="str">
        <f>Raw_Data!B814</f>
        <v>i</v>
      </c>
      <c r="F814" s="4">
        <f>Raw_Data!C814</f>
        <v>399.4869951</v>
      </c>
    </row>
    <row r="815" spans="1:6" thickTop="1" thickBot="1" x14ac:dyDescent="0.35">
      <c r="A815" s="5">
        <f>Raw_Data!D815</f>
        <v>44796</v>
      </c>
      <c r="B815" s="4">
        <f>YEAR(A815)</f>
        <v>2022</v>
      </c>
      <c r="C815" s="4" t="str">
        <f>TEXT(A815,"mmmm")</f>
        <v>August</v>
      </c>
      <c r="D815" s="4">
        <f>Raw_Data!A815</f>
        <v>53</v>
      </c>
      <c r="E815" s="4" t="str">
        <f>Raw_Data!B815</f>
        <v>e</v>
      </c>
      <c r="F815" s="4">
        <f>Raw_Data!C815</f>
        <v>564.35872199999994</v>
      </c>
    </row>
    <row r="816" spans="1:6" thickTop="1" thickBot="1" x14ac:dyDescent="0.35">
      <c r="A816" s="5">
        <f>Raw_Data!D816</f>
        <v>44926</v>
      </c>
      <c r="B816" s="4">
        <f>YEAR(A816)</f>
        <v>2022</v>
      </c>
      <c r="C816" s="4" t="str">
        <f>TEXT(A816,"mmmm")</f>
        <v>December</v>
      </c>
      <c r="D816" s="4">
        <f>Raw_Data!A816</f>
        <v>63</v>
      </c>
      <c r="E816" s="4" t="str">
        <f>Raw_Data!B816</f>
        <v>d</v>
      </c>
      <c r="F816" s="4">
        <f>Raw_Data!C816</f>
        <v>461.71998029999997</v>
      </c>
    </row>
    <row r="817" spans="1:6" thickTop="1" thickBot="1" x14ac:dyDescent="0.35">
      <c r="A817" s="5">
        <f>Raw_Data!D817</f>
        <v>44625</v>
      </c>
      <c r="B817" s="4">
        <f>YEAR(A817)</f>
        <v>2022</v>
      </c>
      <c r="C817" s="4" t="str">
        <f>TEXT(A817,"mmmm")</f>
        <v>March</v>
      </c>
      <c r="D817" s="4">
        <f>Raw_Data!A817</f>
        <v>73</v>
      </c>
      <c r="E817" s="4" t="str">
        <f>Raw_Data!B817</f>
        <v>j</v>
      </c>
      <c r="F817" s="4">
        <f>Raw_Data!C817</f>
        <v>301.56454029999998</v>
      </c>
    </row>
    <row r="818" spans="1:6" thickTop="1" thickBot="1" x14ac:dyDescent="0.35">
      <c r="A818" s="5">
        <f>Raw_Data!D818</f>
        <v>44854</v>
      </c>
      <c r="B818" s="4">
        <f>YEAR(A818)</f>
        <v>2022</v>
      </c>
      <c r="C818" s="4" t="str">
        <f>TEXT(A818,"mmmm")</f>
        <v>October</v>
      </c>
      <c r="D818" s="4">
        <f>Raw_Data!A818</f>
        <v>31</v>
      </c>
      <c r="E818" s="4" t="str">
        <f>Raw_Data!B818</f>
        <v>g</v>
      </c>
      <c r="F818" s="4">
        <f>Raw_Data!C818</f>
        <v>539.24756160000004</v>
      </c>
    </row>
    <row r="819" spans="1:6" thickTop="1" thickBot="1" x14ac:dyDescent="0.35">
      <c r="A819" s="5">
        <f>Raw_Data!D819</f>
        <v>44852</v>
      </c>
      <c r="B819" s="4">
        <f>YEAR(A819)</f>
        <v>2022</v>
      </c>
      <c r="C819" s="4" t="str">
        <f>TEXT(A819,"mmmm")</f>
        <v>October</v>
      </c>
      <c r="D819" s="4">
        <f>Raw_Data!A819</f>
        <v>83</v>
      </c>
      <c r="E819" s="4" t="str">
        <f>Raw_Data!B819</f>
        <v>c</v>
      </c>
      <c r="F819" s="4">
        <f>Raw_Data!C819</f>
        <v>511.90362929999998</v>
      </c>
    </row>
    <row r="820" spans="1:6" thickTop="1" thickBot="1" x14ac:dyDescent="0.35">
      <c r="A820" s="5">
        <f>Raw_Data!D820</f>
        <v>44573</v>
      </c>
      <c r="B820" s="4">
        <f>YEAR(A820)</f>
        <v>2022</v>
      </c>
      <c r="C820" s="4" t="str">
        <f>TEXT(A820,"mmmm")</f>
        <v>January</v>
      </c>
      <c r="D820" s="4">
        <f>Raw_Data!A820</f>
        <v>55</v>
      </c>
      <c r="E820" s="4" t="str">
        <f>Raw_Data!B820</f>
        <v>c</v>
      </c>
      <c r="F820" s="4">
        <f>Raw_Data!C820</f>
        <v>425.95229899999998</v>
      </c>
    </row>
    <row r="821" spans="1:6" thickTop="1" thickBot="1" x14ac:dyDescent="0.35">
      <c r="A821" s="5">
        <f>Raw_Data!D821</f>
        <v>44676</v>
      </c>
      <c r="B821" s="4">
        <f>YEAR(A821)</f>
        <v>2022</v>
      </c>
      <c r="C821" s="4" t="str">
        <f>TEXT(A821,"mmmm")</f>
        <v>April</v>
      </c>
      <c r="D821" s="4">
        <f>Raw_Data!A821</f>
        <v>18</v>
      </c>
      <c r="E821" s="4" t="str">
        <f>Raw_Data!B821</f>
        <v>c</v>
      </c>
      <c r="F821" s="4">
        <f>Raw_Data!C821</f>
        <v>575.93567489999998</v>
      </c>
    </row>
    <row r="822" spans="1:6" thickTop="1" thickBot="1" x14ac:dyDescent="0.35">
      <c r="A822" s="5">
        <f>Raw_Data!D822</f>
        <v>44721</v>
      </c>
      <c r="B822" s="4">
        <f>YEAR(A822)</f>
        <v>2022</v>
      </c>
      <c r="C822" s="4" t="str">
        <f>TEXT(A822,"mmmm")</f>
        <v>June</v>
      </c>
      <c r="D822" s="4">
        <f>Raw_Data!A822</f>
        <v>44</v>
      </c>
      <c r="E822" s="4" t="str">
        <f>Raw_Data!B822</f>
        <v>g</v>
      </c>
      <c r="F822" s="4">
        <f>Raw_Data!C822</f>
        <v>357.04001670000002</v>
      </c>
    </row>
    <row r="823" spans="1:6" thickTop="1" thickBot="1" x14ac:dyDescent="0.35">
      <c r="A823" s="5">
        <f>Raw_Data!D823</f>
        <v>44853</v>
      </c>
      <c r="B823" s="4">
        <f>YEAR(A823)</f>
        <v>2022</v>
      </c>
      <c r="C823" s="4" t="str">
        <f>TEXT(A823,"mmmm")</f>
        <v>October</v>
      </c>
      <c r="D823" s="4">
        <f>Raw_Data!A823</f>
        <v>92</v>
      </c>
      <c r="E823" s="4" t="str">
        <f>Raw_Data!B823</f>
        <v>e</v>
      </c>
      <c r="F823" s="4">
        <f>Raw_Data!C823</f>
        <v>415.6392108</v>
      </c>
    </row>
    <row r="824" spans="1:6" thickTop="1" thickBot="1" x14ac:dyDescent="0.35">
      <c r="A824" s="5">
        <f>Raw_Data!D824</f>
        <v>44583</v>
      </c>
      <c r="B824" s="4">
        <f>YEAR(A824)</f>
        <v>2022</v>
      </c>
      <c r="C824" s="4" t="str">
        <f>TEXT(A824,"mmmm")</f>
        <v>January</v>
      </c>
      <c r="D824" s="4">
        <f>Raw_Data!A824</f>
        <v>21</v>
      </c>
      <c r="E824" s="4" t="str">
        <f>Raw_Data!B824</f>
        <v>f</v>
      </c>
      <c r="F824" s="4">
        <f>Raw_Data!C824</f>
        <v>530.99485189999996</v>
      </c>
    </row>
    <row r="825" spans="1:6" thickTop="1" thickBot="1" x14ac:dyDescent="0.35">
      <c r="A825" s="5">
        <f>Raw_Data!D825</f>
        <v>44710</v>
      </c>
      <c r="B825" s="4">
        <f>YEAR(A825)</f>
        <v>2022</v>
      </c>
      <c r="C825" s="4" t="str">
        <f>TEXT(A825,"mmmm")</f>
        <v>May</v>
      </c>
      <c r="D825" s="4">
        <f>Raw_Data!A825</f>
        <v>29</v>
      </c>
      <c r="E825" s="4" t="str">
        <f>Raw_Data!B825</f>
        <v>b</v>
      </c>
      <c r="F825" s="4">
        <f>Raw_Data!C825</f>
        <v>395.79194619999998</v>
      </c>
    </row>
    <row r="826" spans="1:6" thickTop="1" thickBot="1" x14ac:dyDescent="0.35">
      <c r="A826" s="5">
        <f>Raw_Data!D826</f>
        <v>44571</v>
      </c>
      <c r="B826" s="4">
        <f>YEAR(A826)</f>
        <v>2022</v>
      </c>
      <c r="C826" s="4" t="str">
        <f>TEXT(A826,"mmmm")</f>
        <v>January</v>
      </c>
      <c r="D826" s="4">
        <f>Raw_Data!A826</f>
        <v>36</v>
      </c>
      <c r="E826" s="4" t="str">
        <f>Raw_Data!B826</f>
        <v>d</v>
      </c>
      <c r="F826" s="4">
        <f>Raw_Data!C826</f>
        <v>481.18014099999999</v>
      </c>
    </row>
    <row r="827" spans="1:6" thickTop="1" thickBot="1" x14ac:dyDescent="0.35">
      <c r="A827" s="5">
        <f>Raw_Data!D827</f>
        <v>44760</v>
      </c>
      <c r="B827" s="4">
        <f>YEAR(A827)</f>
        <v>2022</v>
      </c>
      <c r="C827" s="4" t="str">
        <f>TEXT(A827,"mmmm")</f>
        <v>July</v>
      </c>
      <c r="D827" s="4">
        <f>Raw_Data!A827</f>
        <v>84</v>
      </c>
      <c r="E827" s="4" t="str">
        <f>Raw_Data!B827</f>
        <v>f</v>
      </c>
      <c r="F827" s="4">
        <f>Raw_Data!C827</f>
        <v>342.17396580000002</v>
      </c>
    </row>
    <row r="828" spans="1:6" thickTop="1" thickBot="1" x14ac:dyDescent="0.35">
      <c r="A828" s="5">
        <f>Raw_Data!D828</f>
        <v>44659</v>
      </c>
      <c r="B828" s="4">
        <f>YEAR(A828)</f>
        <v>2022</v>
      </c>
      <c r="C828" s="4" t="str">
        <f>TEXT(A828,"mmmm")</f>
        <v>April</v>
      </c>
      <c r="D828" s="4">
        <f>Raw_Data!A828</f>
        <v>23</v>
      </c>
      <c r="E828" s="4" t="str">
        <f>Raw_Data!B828</f>
        <v>f</v>
      </c>
      <c r="F828" s="4">
        <f>Raw_Data!C828</f>
        <v>619.0112752</v>
      </c>
    </row>
    <row r="829" spans="1:6" thickTop="1" thickBot="1" x14ac:dyDescent="0.35">
      <c r="A829" s="5">
        <f>Raw_Data!D829</f>
        <v>44638</v>
      </c>
      <c r="B829" s="4">
        <f>YEAR(A829)</f>
        <v>2022</v>
      </c>
      <c r="C829" s="4" t="str">
        <f>TEXT(A829,"mmmm")</f>
        <v>March</v>
      </c>
      <c r="D829" s="4">
        <f>Raw_Data!A829</f>
        <v>42</v>
      </c>
      <c r="E829" s="4" t="str">
        <f>Raw_Data!B829</f>
        <v>j</v>
      </c>
      <c r="F829" s="4">
        <f>Raw_Data!C829</f>
        <v>678.01840560000005</v>
      </c>
    </row>
    <row r="830" spans="1:6" thickTop="1" thickBot="1" x14ac:dyDescent="0.35">
      <c r="A830" s="5">
        <f>Raw_Data!D830</f>
        <v>44617</v>
      </c>
      <c r="B830" s="4">
        <f>YEAR(A830)</f>
        <v>2022</v>
      </c>
      <c r="C830" s="4" t="str">
        <f>TEXT(A830,"mmmm")</f>
        <v>February</v>
      </c>
      <c r="D830" s="4">
        <f>Raw_Data!A830</f>
        <v>69</v>
      </c>
      <c r="E830" s="4" t="str">
        <f>Raw_Data!B830</f>
        <v>e</v>
      </c>
      <c r="F830" s="4">
        <f>Raw_Data!C830</f>
        <v>605.50446350000004</v>
      </c>
    </row>
    <row r="831" spans="1:6" thickTop="1" thickBot="1" x14ac:dyDescent="0.35">
      <c r="A831" s="5">
        <f>Raw_Data!D831</f>
        <v>44562</v>
      </c>
      <c r="B831" s="4">
        <f>YEAR(A831)</f>
        <v>2022</v>
      </c>
      <c r="C831" s="4" t="str">
        <f>TEXT(A831,"mmmm")</f>
        <v>January</v>
      </c>
      <c r="D831" s="4">
        <f>Raw_Data!A831</f>
        <v>66</v>
      </c>
      <c r="E831" s="4" t="str">
        <f>Raw_Data!B831</f>
        <v>d</v>
      </c>
      <c r="F831" s="4">
        <f>Raw_Data!C831</f>
        <v>644.3759192</v>
      </c>
    </row>
    <row r="832" spans="1:6" thickTop="1" thickBot="1" x14ac:dyDescent="0.35">
      <c r="A832" s="5">
        <f>Raw_Data!D832</f>
        <v>44603</v>
      </c>
      <c r="B832" s="4">
        <f>YEAR(A832)</f>
        <v>2022</v>
      </c>
      <c r="C832" s="4" t="str">
        <f>TEXT(A832,"mmmm")</f>
        <v>February</v>
      </c>
      <c r="D832" s="4">
        <f>Raw_Data!A832</f>
        <v>82</v>
      </c>
      <c r="E832" s="4" t="str">
        <f>Raw_Data!B832</f>
        <v>c</v>
      </c>
      <c r="F832" s="4">
        <f>Raw_Data!C832</f>
        <v>440.8353444</v>
      </c>
    </row>
    <row r="833" spans="1:6" thickTop="1" thickBot="1" x14ac:dyDescent="0.35">
      <c r="A833" s="5">
        <f>Raw_Data!D833</f>
        <v>44582</v>
      </c>
      <c r="B833" s="4">
        <f>YEAR(A833)</f>
        <v>2022</v>
      </c>
      <c r="C833" s="4" t="str">
        <f>TEXT(A833,"mmmm")</f>
        <v>January</v>
      </c>
      <c r="D833" s="4">
        <f>Raw_Data!A833</f>
        <v>76</v>
      </c>
      <c r="E833" s="4" t="str">
        <f>Raw_Data!B833</f>
        <v>g</v>
      </c>
      <c r="F833" s="4">
        <f>Raw_Data!C833</f>
        <v>641.41921820000005</v>
      </c>
    </row>
    <row r="834" spans="1:6" thickTop="1" thickBot="1" x14ac:dyDescent="0.35">
      <c r="A834" s="5">
        <f>Raw_Data!D834</f>
        <v>44605</v>
      </c>
      <c r="B834" s="4">
        <f>YEAR(A834)</f>
        <v>2022</v>
      </c>
      <c r="C834" s="4" t="str">
        <f>TEXT(A834,"mmmm")</f>
        <v>February</v>
      </c>
      <c r="D834" s="4">
        <f>Raw_Data!A834</f>
        <v>62</v>
      </c>
      <c r="E834" s="4" t="str">
        <f>Raw_Data!B834</f>
        <v>f</v>
      </c>
      <c r="F834" s="4">
        <f>Raw_Data!C834</f>
        <v>544.68437359999996</v>
      </c>
    </row>
    <row r="835" spans="1:6" thickTop="1" thickBot="1" x14ac:dyDescent="0.35">
      <c r="A835" s="5">
        <f>Raw_Data!D835</f>
        <v>44702</v>
      </c>
      <c r="B835" s="4">
        <f>YEAR(A835)</f>
        <v>2022</v>
      </c>
      <c r="C835" s="4" t="str">
        <f>TEXT(A835,"mmmm")</f>
        <v>May</v>
      </c>
      <c r="D835" s="4">
        <f>Raw_Data!A835</f>
        <v>64</v>
      </c>
      <c r="E835" s="4" t="str">
        <f>Raw_Data!B835</f>
        <v>b</v>
      </c>
      <c r="F835" s="4">
        <f>Raw_Data!C835</f>
        <v>379.11281400000001</v>
      </c>
    </row>
    <row r="836" spans="1:6" thickTop="1" thickBot="1" x14ac:dyDescent="0.35">
      <c r="A836" s="5">
        <f>Raw_Data!D836</f>
        <v>44623</v>
      </c>
      <c r="B836" s="4">
        <f>YEAR(A836)</f>
        <v>2022</v>
      </c>
      <c r="C836" s="4" t="str">
        <f>TEXT(A836,"mmmm")</f>
        <v>March</v>
      </c>
      <c r="D836" s="4">
        <f>Raw_Data!A836</f>
        <v>77</v>
      </c>
      <c r="E836" s="4" t="str">
        <f>Raw_Data!B836</f>
        <v>i</v>
      </c>
      <c r="F836" s="4">
        <f>Raw_Data!C836</f>
        <v>467.6400438</v>
      </c>
    </row>
    <row r="837" spans="1:6" thickTop="1" thickBot="1" x14ac:dyDescent="0.35">
      <c r="A837" s="5">
        <f>Raw_Data!D837</f>
        <v>44796</v>
      </c>
      <c r="B837" s="4">
        <f>YEAR(A837)</f>
        <v>2022</v>
      </c>
      <c r="C837" s="4" t="str">
        <f>TEXT(A837,"mmmm")</f>
        <v>August</v>
      </c>
      <c r="D837" s="4">
        <f>Raw_Data!A837</f>
        <v>51</v>
      </c>
      <c r="E837" s="4" t="str">
        <f>Raw_Data!B837</f>
        <v>g</v>
      </c>
      <c r="F837" s="4">
        <f>Raw_Data!C837</f>
        <v>664.85902069999997</v>
      </c>
    </row>
    <row r="838" spans="1:6" thickTop="1" thickBot="1" x14ac:dyDescent="0.35">
      <c r="A838" s="5">
        <f>Raw_Data!D838</f>
        <v>44640</v>
      </c>
      <c r="B838" s="4">
        <f>YEAR(A838)</f>
        <v>2022</v>
      </c>
      <c r="C838" s="4" t="str">
        <f>TEXT(A838,"mmmm")</f>
        <v>March</v>
      </c>
      <c r="D838" s="4">
        <f>Raw_Data!A838</f>
        <v>18</v>
      </c>
      <c r="E838" s="4" t="str">
        <f>Raw_Data!B838</f>
        <v>h</v>
      </c>
      <c r="F838" s="4">
        <f>Raw_Data!C838</f>
        <v>537.08310670000003</v>
      </c>
    </row>
    <row r="839" spans="1:6" thickTop="1" thickBot="1" x14ac:dyDescent="0.35">
      <c r="A839" s="5">
        <f>Raw_Data!D839</f>
        <v>44810</v>
      </c>
      <c r="B839" s="4">
        <f>YEAR(A839)</f>
        <v>2022</v>
      </c>
      <c r="C839" s="4" t="str">
        <f>TEXT(A839,"mmmm")</f>
        <v>September</v>
      </c>
      <c r="D839" s="4">
        <f>Raw_Data!A839</f>
        <v>10</v>
      </c>
      <c r="E839" s="4" t="str">
        <f>Raw_Data!B839</f>
        <v>h</v>
      </c>
      <c r="F839" s="4">
        <f>Raw_Data!C839</f>
        <v>508.12191610000002</v>
      </c>
    </row>
    <row r="840" spans="1:6" thickTop="1" thickBot="1" x14ac:dyDescent="0.35">
      <c r="A840" s="5">
        <f>Raw_Data!D840</f>
        <v>44922</v>
      </c>
      <c r="B840" s="4">
        <f>YEAR(A840)</f>
        <v>2022</v>
      </c>
      <c r="C840" s="4" t="str">
        <f>TEXT(A840,"mmmm")</f>
        <v>December</v>
      </c>
      <c r="D840" s="4">
        <f>Raw_Data!A840</f>
        <v>73</v>
      </c>
      <c r="E840" s="4" t="str">
        <f>Raw_Data!B840</f>
        <v>f</v>
      </c>
      <c r="F840" s="4">
        <f>Raw_Data!C840</f>
        <v>606.78102630000001</v>
      </c>
    </row>
    <row r="841" spans="1:6" thickTop="1" thickBot="1" x14ac:dyDescent="0.35">
      <c r="A841" s="5">
        <f>Raw_Data!D841</f>
        <v>44649</v>
      </c>
      <c r="B841" s="4">
        <f>YEAR(A841)</f>
        <v>2022</v>
      </c>
      <c r="C841" s="4" t="str">
        <f>TEXT(A841,"mmmm")</f>
        <v>March</v>
      </c>
      <c r="D841" s="4">
        <f>Raw_Data!A841</f>
        <v>99</v>
      </c>
      <c r="E841" s="4" t="str">
        <f>Raw_Data!B841</f>
        <v>e</v>
      </c>
      <c r="F841" s="4">
        <f>Raw_Data!C841</f>
        <v>368.5821995</v>
      </c>
    </row>
    <row r="842" spans="1:6" thickTop="1" thickBot="1" x14ac:dyDescent="0.35">
      <c r="A842" s="5">
        <f>Raw_Data!D842</f>
        <v>44577</v>
      </c>
      <c r="B842" s="4">
        <f>YEAR(A842)</f>
        <v>2022</v>
      </c>
      <c r="C842" s="4" t="str">
        <f>TEXT(A842,"mmmm")</f>
        <v>January</v>
      </c>
      <c r="D842" s="4">
        <f>Raw_Data!A842</f>
        <v>93</v>
      </c>
      <c r="E842" s="4" t="str">
        <f>Raw_Data!B842</f>
        <v>i</v>
      </c>
      <c r="F842" s="4">
        <f>Raw_Data!C842</f>
        <v>597.50070310000001</v>
      </c>
    </row>
    <row r="843" spans="1:6" thickTop="1" thickBot="1" x14ac:dyDescent="0.35">
      <c r="A843" s="5">
        <f>Raw_Data!D843</f>
        <v>44907</v>
      </c>
      <c r="B843" s="4">
        <f>YEAR(A843)</f>
        <v>2022</v>
      </c>
      <c r="C843" s="4" t="str">
        <f>TEXT(A843,"mmmm")</f>
        <v>December</v>
      </c>
      <c r="D843" s="4">
        <f>Raw_Data!A843</f>
        <v>86</v>
      </c>
      <c r="E843" s="4" t="str">
        <f>Raw_Data!B843</f>
        <v>i</v>
      </c>
      <c r="F843" s="4">
        <f>Raw_Data!C843</f>
        <v>413.93921949999998</v>
      </c>
    </row>
    <row r="844" spans="1:6" thickTop="1" thickBot="1" x14ac:dyDescent="0.35">
      <c r="A844" s="5">
        <f>Raw_Data!D844</f>
        <v>44779</v>
      </c>
      <c r="B844" s="4">
        <f>YEAR(A844)</f>
        <v>2022</v>
      </c>
      <c r="C844" s="4" t="str">
        <f>TEXT(A844,"mmmm")</f>
        <v>August</v>
      </c>
      <c r="D844" s="4">
        <f>Raw_Data!A844</f>
        <v>83</v>
      </c>
      <c r="E844" s="4" t="str">
        <f>Raw_Data!B844</f>
        <v>e</v>
      </c>
      <c r="F844" s="4">
        <f>Raw_Data!C844</f>
        <v>321.5193155</v>
      </c>
    </row>
    <row r="845" spans="1:6" thickTop="1" thickBot="1" x14ac:dyDescent="0.35">
      <c r="A845" s="5">
        <f>Raw_Data!D845</f>
        <v>44773</v>
      </c>
      <c r="B845" s="4">
        <f>YEAR(A845)</f>
        <v>2022</v>
      </c>
      <c r="C845" s="4" t="str">
        <f>TEXT(A845,"mmmm")</f>
        <v>July</v>
      </c>
      <c r="D845" s="4">
        <f>Raw_Data!A845</f>
        <v>72</v>
      </c>
      <c r="E845" s="4" t="str">
        <f>Raw_Data!B845</f>
        <v>j</v>
      </c>
      <c r="F845" s="4">
        <f>Raw_Data!C845</f>
        <v>522.95063300000004</v>
      </c>
    </row>
    <row r="846" spans="1:6" thickTop="1" thickBot="1" x14ac:dyDescent="0.35">
      <c r="A846" s="5">
        <f>Raw_Data!D846</f>
        <v>44616</v>
      </c>
      <c r="B846" s="4">
        <f>YEAR(A846)</f>
        <v>2022</v>
      </c>
      <c r="C846" s="4" t="str">
        <f>TEXT(A846,"mmmm")</f>
        <v>February</v>
      </c>
      <c r="D846" s="4">
        <f>Raw_Data!A846</f>
        <v>97</v>
      </c>
      <c r="E846" s="4" t="str">
        <f>Raw_Data!B846</f>
        <v>a</v>
      </c>
      <c r="F846" s="4">
        <f>Raw_Data!C846</f>
        <v>626.48885359999997</v>
      </c>
    </row>
    <row r="847" spans="1:6" thickTop="1" thickBot="1" x14ac:dyDescent="0.35">
      <c r="A847" s="5">
        <f>Raw_Data!D847</f>
        <v>44666</v>
      </c>
      <c r="B847" s="4">
        <f>YEAR(A847)</f>
        <v>2022</v>
      </c>
      <c r="C847" s="4" t="str">
        <f>TEXT(A847,"mmmm")</f>
        <v>April</v>
      </c>
      <c r="D847" s="4">
        <f>Raw_Data!A847</f>
        <v>2</v>
      </c>
      <c r="E847" s="4" t="str">
        <f>Raw_Data!B847</f>
        <v>j</v>
      </c>
      <c r="F847" s="4">
        <f>Raw_Data!C847</f>
        <v>428.58993240000001</v>
      </c>
    </row>
    <row r="848" spans="1:6" thickTop="1" thickBot="1" x14ac:dyDescent="0.35">
      <c r="A848" s="5">
        <f>Raw_Data!D848</f>
        <v>44888</v>
      </c>
      <c r="B848" s="4">
        <f>YEAR(A848)</f>
        <v>2022</v>
      </c>
      <c r="C848" s="4" t="str">
        <f>TEXT(A848,"mmmm")</f>
        <v>November</v>
      </c>
      <c r="D848" s="4">
        <f>Raw_Data!A848</f>
        <v>43</v>
      </c>
      <c r="E848" s="4" t="str">
        <f>Raw_Data!B848</f>
        <v>b</v>
      </c>
      <c r="F848" s="4">
        <f>Raw_Data!C848</f>
        <v>349.76897330000003</v>
      </c>
    </row>
    <row r="849" spans="1:6" thickTop="1" thickBot="1" x14ac:dyDescent="0.35">
      <c r="A849" s="5">
        <f>Raw_Data!D849</f>
        <v>44787</v>
      </c>
      <c r="B849" s="4">
        <f>YEAR(A849)</f>
        <v>2022</v>
      </c>
      <c r="C849" s="4" t="str">
        <f>TEXT(A849,"mmmm")</f>
        <v>August</v>
      </c>
      <c r="D849" s="4">
        <f>Raw_Data!A849</f>
        <v>5</v>
      </c>
      <c r="E849" s="4" t="str">
        <f>Raw_Data!B849</f>
        <v>c</v>
      </c>
      <c r="F849" s="4">
        <f>Raw_Data!C849</f>
        <v>562.68407820000004</v>
      </c>
    </row>
    <row r="850" spans="1:6" thickTop="1" thickBot="1" x14ac:dyDescent="0.35">
      <c r="A850" s="5">
        <f>Raw_Data!D850</f>
        <v>44599</v>
      </c>
      <c r="B850" s="4">
        <f>YEAR(A850)</f>
        <v>2022</v>
      </c>
      <c r="C850" s="4" t="str">
        <f>TEXT(A850,"mmmm")</f>
        <v>February</v>
      </c>
      <c r="D850" s="4">
        <f>Raw_Data!A850</f>
        <v>85</v>
      </c>
      <c r="E850" s="4" t="str">
        <f>Raw_Data!B850</f>
        <v>g</v>
      </c>
      <c r="F850" s="4">
        <f>Raw_Data!C850</f>
        <v>412.14273630000002</v>
      </c>
    </row>
    <row r="851" spans="1:6" thickTop="1" thickBot="1" x14ac:dyDescent="0.35">
      <c r="A851" s="5">
        <f>Raw_Data!D851</f>
        <v>44733</v>
      </c>
      <c r="B851" s="4">
        <f>YEAR(A851)</f>
        <v>2022</v>
      </c>
      <c r="C851" s="4" t="str">
        <f>TEXT(A851,"mmmm")</f>
        <v>June</v>
      </c>
      <c r="D851" s="4">
        <f>Raw_Data!A851</f>
        <v>95</v>
      </c>
      <c r="E851" s="4" t="str">
        <f>Raw_Data!B851</f>
        <v>f</v>
      </c>
      <c r="F851" s="4">
        <f>Raw_Data!C851</f>
        <v>445.20609250000001</v>
      </c>
    </row>
    <row r="852" spans="1:6" thickTop="1" thickBot="1" x14ac:dyDescent="0.35">
      <c r="A852" s="5">
        <f>Raw_Data!D852</f>
        <v>44918</v>
      </c>
      <c r="B852" s="4">
        <f>YEAR(A852)</f>
        <v>2022</v>
      </c>
      <c r="C852" s="4" t="str">
        <f>TEXT(A852,"mmmm")</f>
        <v>December</v>
      </c>
      <c r="D852" s="4">
        <f>Raw_Data!A852</f>
        <v>100</v>
      </c>
      <c r="E852" s="4" t="str">
        <f>Raw_Data!B852</f>
        <v>f</v>
      </c>
      <c r="F852" s="4">
        <f>Raw_Data!C852</f>
        <v>561.02317630000005</v>
      </c>
    </row>
    <row r="853" spans="1:6" thickTop="1" thickBot="1" x14ac:dyDescent="0.35">
      <c r="A853" s="5">
        <f>Raw_Data!D853</f>
        <v>44813</v>
      </c>
      <c r="B853" s="4">
        <f>YEAR(A853)</f>
        <v>2022</v>
      </c>
      <c r="C853" s="4" t="str">
        <f>TEXT(A853,"mmmm")</f>
        <v>September</v>
      </c>
      <c r="D853" s="4">
        <f>Raw_Data!A853</f>
        <v>27</v>
      </c>
      <c r="E853" s="4" t="str">
        <f>Raw_Data!B853</f>
        <v>b</v>
      </c>
      <c r="F853" s="4">
        <f>Raw_Data!C853</f>
        <v>568.00383290000002</v>
      </c>
    </row>
    <row r="854" spans="1:6" thickTop="1" thickBot="1" x14ac:dyDescent="0.35">
      <c r="A854" s="5">
        <f>Raw_Data!D854</f>
        <v>44633</v>
      </c>
      <c r="B854" s="4">
        <f>YEAR(A854)</f>
        <v>2022</v>
      </c>
      <c r="C854" s="4" t="str">
        <f>TEXT(A854,"mmmm")</f>
        <v>March</v>
      </c>
      <c r="D854" s="4">
        <f>Raw_Data!A854</f>
        <v>23</v>
      </c>
      <c r="E854" s="4" t="str">
        <f>Raw_Data!B854</f>
        <v>a</v>
      </c>
      <c r="F854" s="4">
        <f>Raw_Data!C854</f>
        <v>468.24341800000002</v>
      </c>
    </row>
    <row r="855" spans="1:6" thickTop="1" thickBot="1" x14ac:dyDescent="0.35">
      <c r="A855" s="5">
        <f>Raw_Data!D855</f>
        <v>44649</v>
      </c>
      <c r="B855" s="4">
        <f>YEAR(A855)</f>
        <v>2022</v>
      </c>
      <c r="C855" s="4" t="str">
        <f>TEXT(A855,"mmmm")</f>
        <v>March</v>
      </c>
      <c r="D855" s="4">
        <f>Raw_Data!A855</f>
        <v>3</v>
      </c>
      <c r="E855" s="4" t="str">
        <f>Raw_Data!B855</f>
        <v>c</v>
      </c>
      <c r="F855" s="4">
        <f>Raw_Data!C855</f>
        <v>625.26148269999999</v>
      </c>
    </row>
    <row r="856" spans="1:6" thickTop="1" thickBot="1" x14ac:dyDescent="0.35">
      <c r="A856" s="5">
        <f>Raw_Data!D856</f>
        <v>44581</v>
      </c>
      <c r="B856" s="4">
        <f>YEAR(A856)</f>
        <v>2022</v>
      </c>
      <c r="C856" s="4" t="str">
        <f>TEXT(A856,"mmmm")</f>
        <v>January</v>
      </c>
      <c r="D856" s="4">
        <f>Raw_Data!A856</f>
        <v>15</v>
      </c>
      <c r="E856" s="4" t="str">
        <f>Raw_Data!B856</f>
        <v>i</v>
      </c>
      <c r="F856" s="4">
        <f>Raw_Data!C856</f>
        <v>460.06093499999997</v>
      </c>
    </row>
    <row r="857" spans="1:6" thickTop="1" thickBot="1" x14ac:dyDescent="0.35">
      <c r="A857" s="5">
        <f>Raw_Data!D857</f>
        <v>44570</v>
      </c>
      <c r="B857" s="4">
        <f>YEAR(A857)</f>
        <v>2022</v>
      </c>
      <c r="C857" s="4" t="str">
        <f>TEXT(A857,"mmmm")</f>
        <v>January</v>
      </c>
      <c r="D857" s="4">
        <f>Raw_Data!A857</f>
        <v>58</v>
      </c>
      <c r="E857" s="4" t="str">
        <f>Raw_Data!B857</f>
        <v>b</v>
      </c>
      <c r="F857" s="4">
        <f>Raw_Data!C857</f>
        <v>581.27666529999999</v>
      </c>
    </row>
    <row r="858" spans="1:6" thickTop="1" thickBot="1" x14ac:dyDescent="0.35">
      <c r="A858" s="5">
        <f>Raw_Data!D858</f>
        <v>44882</v>
      </c>
      <c r="B858" s="4">
        <f>YEAR(A858)</f>
        <v>2022</v>
      </c>
      <c r="C858" s="4" t="str">
        <f>TEXT(A858,"mmmm")</f>
        <v>November</v>
      </c>
      <c r="D858" s="4">
        <f>Raw_Data!A858</f>
        <v>7</v>
      </c>
      <c r="E858" s="4" t="str">
        <f>Raw_Data!B858</f>
        <v>j</v>
      </c>
      <c r="F858" s="4">
        <f>Raw_Data!C858</f>
        <v>508.03958499999999</v>
      </c>
    </row>
    <row r="859" spans="1:6" thickTop="1" thickBot="1" x14ac:dyDescent="0.35">
      <c r="A859" s="5">
        <f>Raw_Data!D859</f>
        <v>44710</v>
      </c>
      <c r="B859" s="4">
        <f>YEAR(A859)</f>
        <v>2022</v>
      </c>
      <c r="C859" s="4" t="str">
        <f>TEXT(A859,"mmmm")</f>
        <v>May</v>
      </c>
      <c r="D859" s="4">
        <f>Raw_Data!A859</f>
        <v>34</v>
      </c>
      <c r="E859" s="4" t="str">
        <f>Raw_Data!B859</f>
        <v>h</v>
      </c>
      <c r="F859" s="4">
        <f>Raw_Data!C859</f>
        <v>621.77447419999999</v>
      </c>
    </row>
    <row r="860" spans="1:6" thickTop="1" thickBot="1" x14ac:dyDescent="0.35">
      <c r="A860" s="5">
        <f>Raw_Data!D860</f>
        <v>44761</v>
      </c>
      <c r="B860" s="4">
        <f>YEAR(A860)</f>
        <v>2022</v>
      </c>
      <c r="C860" s="4" t="str">
        <f>TEXT(A860,"mmmm")</f>
        <v>July</v>
      </c>
      <c r="D860" s="4">
        <f>Raw_Data!A860</f>
        <v>31</v>
      </c>
      <c r="E860" s="4" t="str">
        <f>Raw_Data!B860</f>
        <v>h</v>
      </c>
      <c r="F860" s="4">
        <f>Raw_Data!C860</f>
        <v>595.32749100000001</v>
      </c>
    </row>
    <row r="861" spans="1:6" thickTop="1" thickBot="1" x14ac:dyDescent="0.35">
      <c r="A861" s="5">
        <f>Raw_Data!D861</f>
        <v>44697</v>
      </c>
      <c r="B861" s="4">
        <f>YEAR(A861)</f>
        <v>2022</v>
      </c>
      <c r="C861" s="4" t="str">
        <f>TEXT(A861,"mmmm")</f>
        <v>May</v>
      </c>
      <c r="D861" s="4">
        <f>Raw_Data!A861</f>
        <v>82</v>
      </c>
      <c r="E861" s="4" t="str">
        <f>Raw_Data!B861</f>
        <v>i</v>
      </c>
      <c r="F861" s="4">
        <f>Raw_Data!C861</f>
        <v>514.40534100000002</v>
      </c>
    </row>
    <row r="862" spans="1:6" thickTop="1" thickBot="1" x14ac:dyDescent="0.35">
      <c r="A862" s="5">
        <f>Raw_Data!D862</f>
        <v>44632</v>
      </c>
      <c r="B862" s="4">
        <f>YEAR(A862)</f>
        <v>2022</v>
      </c>
      <c r="C862" s="4" t="str">
        <f>TEXT(A862,"mmmm")</f>
        <v>March</v>
      </c>
      <c r="D862" s="4">
        <f>Raw_Data!A862</f>
        <v>18</v>
      </c>
      <c r="E862" s="4" t="str">
        <f>Raw_Data!B862</f>
        <v>d</v>
      </c>
      <c r="F862" s="4">
        <f>Raw_Data!C862</f>
        <v>471.66560149999998</v>
      </c>
    </row>
    <row r="863" spans="1:6" thickTop="1" thickBot="1" x14ac:dyDescent="0.35">
      <c r="A863" s="5">
        <f>Raw_Data!D863</f>
        <v>44608</v>
      </c>
      <c r="B863" s="4">
        <f>YEAR(A863)</f>
        <v>2022</v>
      </c>
      <c r="C863" s="4" t="str">
        <f>TEXT(A863,"mmmm")</f>
        <v>February</v>
      </c>
      <c r="D863" s="4">
        <f>Raw_Data!A863</f>
        <v>99</v>
      </c>
      <c r="E863" s="4" t="str">
        <f>Raw_Data!B863</f>
        <v>d</v>
      </c>
      <c r="F863" s="4">
        <f>Raw_Data!C863</f>
        <v>604.55027070000006</v>
      </c>
    </row>
    <row r="864" spans="1:6" thickTop="1" thickBot="1" x14ac:dyDescent="0.35">
      <c r="A864" s="5">
        <f>Raw_Data!D864</f>
        <v>44769</v>
      </c>
      <c r="B864" s="4">
        <f>YEAR(A864)</f>
        <v>2022</v>
      </c>
      <c r="C864" s="4" t="str">
        <f>TEXT(A864,"mmmm")</f>
        <v>July</v>
      </c>
      <c r="D864" s="4">
        <f>Raw_Data!A864</f>
        <v>46</v>
      </c>
      <c r="E864" s="4" t="str">
        <f>Raw_Data!B864</f>
        <v>a</v>
      </c>
      <c r="F864" s="4">
        <f>Raw_Data!C864</f>
        <v>479.03829489999998</v>
      </c>
    </row>
    <row r="865" spans="1:6" thickTop="1" thickBot="1" x14ac:dyDescent="0.35">
      <c r="A865" s="5">
        <f>Raw_Data!D865</f>
        <v>44764</v>
      </c>
      <c r="B865" s="4">
        <f>YEAR(A865)</f>
        <v>2022</v>
      </c>
      <c r="C865" s="4" t="str">
        <f>TEXT(A865,"mmmm")</f>
        <v>July</v>
      </c>
      <c r="D865" s="4">
        <f>Raw_Data!A865</f>
        <v>9</v>
      </c>
      <c r="E865" s="4" t="str">
        <f>Raw_Data!B865</f>
        <v>b</v>
      </c>
      <c r="F865" s="4">
        <f>Raw_Data!C865</f>
        <v>559.72832289999997</v>
      </c>
    </row>
    <row r="866" spans="1:6" thickTop="1" thickBot="1" x14ac:dyDescent="0.35">
      <c r="A866" s="5">
        <f>Raw_Data!D866</f>
        <v>44754</v>
      </c>
      <c r="B866" s="4">
        <f>YEAR(A866)</f>
        <v>2022</v>
      </c>
      <c r="C866" s="4" t="str">
        <f>TEXT(A866,"mmmm")</f>
        <v>July</v>
      </c>
      <c r="D866" s="4">
        <f>Raw_Data!A866</f>
        <v>79</v>
      </c>
      <c r="E866" s="4" t="str">
        <f>Raw_Data!B866</f>
        <v>g</v>
      </c>
      <c r="F866" s="4">
        <f>Raw_Data!C866</f>
        <v>341.84314080000001</v>
      </c>
    </row>
    <row r="867" spans="1:6" thickTop="1" thickBot="1" x14ac:dyDescent="0.35">
      <c r="A867" s="5">
        <f>Raw_Data!D867</f>
        <v>44754</v>
      </c>
      <c r="B867" s="4">
        <f>YEAR(A867)</f>
        <v>2022</v>
      </c>
      <c r="C867" s="4" t="str">
        <f>TEXT(A867,"mmmm")</f>
        <v>July</v>
      </c>
      <c r="D867" s="4">
        <f>Raw_Data!A867</f>
        <v>17</v>
      </c>
      <c r="E867" s="4" t="str">
        <f>Raw_Data!B867</f>
        <v>h</v>
      </c>
      <c r="F867" s="4">
        <f>Raw_Data!C867</f>
        <v>539.15040499999998</v>
      </c>
    </row>
    <row r="868" spans="1:6" thickTop="1" thickBot="1" x14ac:dyDescent="0.35">
      <c r="A868" s="5">
        <f>Raw_Data!D868</f>
        <v>44766</v>
      </c>
      <c r="B868" s="4">
        <f>YEAR(A868)</f>
        <v>2022</v>
      </c>
      <c r="C868" s="4" t="str">
        <f>TEXT(A868,"mmmm")</f>
        <v>July</v>
      </c>
      <c r="D868" s="4">
        <f>Raw_Data!A868</f>
        <v>7</v>
      </c>
      <c r="E868" s="4" t="str">
        <f>Raw_Data!B868</f>
        <v>i</v>
      </c>
      <c r="F868" s="4">
        <f>Raw_Data!C868</f>
        <v>410.3898284</v>
      </c>
    </row>
    <row r="869" spans="1:6" thickTop="1" thickBot="1" x14ac:dyDescent="0.35">
      <c r="A869" s="5">
        <f>Raw_Data!D869</f>
        <v>44677</v>
      </c>
      <c r="B869" s="4">
        <f>YEAR(A869)</f>
        <v>2022</v>
      </c>
      <c r="C869" s="4" t="str">
        <f>TEXT(A869,"mmmm")</f>
        <v>April</v>
      </c>
      <c r="D869" s="4">
        <f>Raw_Data!A869</f>
        <v>94</v>
      </c>
      <c r="E869" s="4" t="str">
        <f>Raw_Data!B869</f>
        <v>e</v>
      </c>
      <c r="F869" s="4">
        <f>Raw_Data!C869</f>
        <v>580.91974100000004</v>
      </c>
    </row>
    <row r="870" spans="1:6" thickTop="1" thickBot="1" x14ac:dyDescent="0.35">
      <c r="A870" s="5">
        <f>Raw_Data!D870</f>
        <v>44911</v>
      </c>
      <c r="B870" s="4">
        <f>YEAR(A870)</f>
        <v>2022</v>
      </c>
      <c r="C870" s="4" t="str">
        <f>TEXT(A870,"mmmm")</f>
        <v>December</v>
      </c>
      <c r="D870" s="4">
        <f>Raw_Data!A870</f>
        <v>8</v>
      </c>
      <c r="E870" s="4" t="str">
        <f>Raw_Data!B870</f>
        <v>e</v>
      </c>
      <c r="F870" s="4">
        <f>Raw_Data!C870</f>
        <v>669.89193450000005</v>
      </c>
    </row>
    <row r="871" spans="1:6" thickTop="1" thickBot="1" x14ac:dyDescent="0.35">
      <c r="A871" s="5">
        <f>Raw_Data!D871</f>
        <v>44690</v>
      </c>
      <c r="B871" s="4">
        <f>YEAR(A871)</f>
        <v>2022</v>
      </c>
      <c r="C871" s="4" t="str">
        <f>TEXT(A871,"mmmm")</f>
        <v>May</v>
      </c>
      <c r="D871" s="4">
        <f>Raw_Data!A871</f>
        <v>65</v>
      </c>
      <c r="E871" s="4" t="str">
        <f>Raw_Data!B871</f>
        <v>f</v>
      </c>
      <c r="F871" s="4">
        <f>Raw_Data!C871</f>
        <v>345.40085210000001</v>
      </c>
    </row>
    <row r="872" spans="1:6" thickTop="1" thickBot="1" x14ac:dyDescent="0.35">
      <c r="A872" s="5">
        <f>Raw_Data!D872</f>
        <v>44822</v>
      </c>
      <c r="B872" s="4">
        <f>YEAR(A872)</f>
        <v>2022</v>
      </c>
      <c r="C872" s="4" t="str">
        <f>TEXT(A872,"mmmm")</f>
        <v>September</v>
      </c>
      <c r="D872" s="4">
        <f>Raw_Data!A872</f>
        <v>9</v>
      </c>
      <c r="E872" s="4" t="str">
        <f>Raw_Data!B872</f>
        <v>j</v>
      </c>
      <c r="F872" s="4">
        <f>Raw_Data!C872</f>
        <v>602.25578970000004</v>
      </c>
    </row>
    <row r="873" spans="1:6" thickTop="1" thickBot="1" x14ac:dyDescent="0.35">
      <c r="A873" s="5">
        <f>Raw_Data!D873</f>
        <v>44804</v>
      </c>
      <c r="B873" s="4">
        <f>YEAR(A873)</f>
        <v>2022</v>
      </c>
      <c r="C873" s="4" t="str">
        <f>TEXT(A873,"mmmm")</f>
        <v>August</v>
      </c>
      <c r="D873" s="4">
        <f>Raw_Data!A873</f>
        <v>99</v>
      </c>
      <c r="E873" s="4" t="str">
        <f>Raw_Data!B873</f>
        <v>a</v>
      </c>
      <c r="F873" s="4">
        <f>Raw_Data!C873</f>
        <v>474.99607639999999</v>
      </c>
    </row>
    <row r="874" spans="1:6" thickTop="1" thickBot="1" x14ac:dyDescent="0.35">
      <c r="A874" s="5">
        <f>Raw_Data!D874</f>
        <v>44773</v>
      </c>
      <c r="B874" s="4">
        <f>YEAR(A874)</f>
        <v>2022</v>
      </c>
      <c r="C874" s="4" t="str">
        <f>TEXT(A874,"mmmm")</f>
        <v>July</v>
      </c>
      <c r="D874" s="4">
        <f>Raw_Data!A874</f>
        <v>25</v>
      </c>
      <c r="E874" s="4" t="str">
        <f>Raw_Data!B874</f>
        <v>j</v>
      </c>
      <c r="F874" s="4">
        <f>Raw_Data!C874</f>
        <v>370.33982370000001</v>
      </c>
    </row>
    <row r="875" spans="1:6" thickTop="1" thickBot="1" x14ac:dyDescent="0.35">
      <c r="A875" s="5">
        <f>Raw_Data!D875</f>
        <v>44690</v>
      </c>
      <c r="B875" s="4">
        <f>YEAR(A875)</f>
        <v>2022</v>
      </c>
      <c r="C875" s="4" t="str">
        <f>TEXT(A875,"mmmm")</f>
        <v>May</v>
      </c>
      <c r="D875" s="4">
        <f>Raw_Data!A875</f>
        <v>2</v>
      </c>
      <c r="E875" s="4" t="str">
        <f>Raw_Data!B875</f>
        <v>e</v>
      </c>
      <c r="F875" s="4">
        <f>Raw_Data!C875</f>
        <v>513.51017879999995</v>
      </c>
    </row>
    <row r="876" spans="1:6" thickTop="1" thickBot="1" x14ac:dyDescent="0.35">
      <c r="A876" s="5">
        <f>Raw_Data!D876</f>
        <v>44802</v>
      </c>
      <c r="B876" s="4">
        <f>YEAR(A876)</f>
        <v>2022</v>
      </c>
      <c r="C876" s="4" t="str">
        <f>TEXT(A876,"mmmm")</f>
        <v>August</v>
      </c>
      <c r="D876" s="4">
        <f>Raw_Data!A876</f>
        <v>11</v>
      </c>
      <c r="E876" s="4" t="str">
        <f>Raw_Data!B876</f>
        <v>f</v>
      </c>
      <c r="F876" s="4">
        <f>Raw_Data!C876</f>
        <v>562.18578009999999</v>
      </c>
    </row>
    <row r="877" spans="1:6" thickTop="1" thickBot="1" x14ac:dyDescent="0.35">
      <c r="A877" s="5">
        <f>Raw_Data!D877</f>
        <v>44693</v>
      </c>
      <c r="B877" s="4">
        <f>YEAR(A877)</f>
        <v>2022</v>
      </c>
      <c r="C877" s="4" t="str">
        <f>TEXT(A877,"mmmm")</f>
        <v>May</v>
      </c>
      <c r="D877" s="4">
        <f>Raw_Data!A877</f>
        <v>68</v>
      </c>
      <c r="E877" s="4" t="str">
        <f>Raw_Data!B877</f>
        <v>e</v>
      </c>
      <c r="F877" s="4">
        <f>Raw_Data!C877</f>
        <v>398.68772469999999</v>
      </c>
    </row>
    <row r="878" spans="1:6" thickTop="1" thickBot="1" x14ac:dyDescent="0.35">
      <c r="A878" s="5">
        <f>Raw_Data!D878</f>
        <v>44839</v>
      </c>
      <c r="B878" s="4">
        <f>YEAR(A878)</f>
        <v>2022</v>
      </c>
      <c r="C878" s="4" t="str">
        <f>TEXT(A878,"mmmm")</f>
        <v>October</v>
      </c>
      <c r="D878" s="4">
        <f>Raw_Data!A878</f>
        <v>40</v>
      </c>
      <c r="E878" s="4" t="str">
        <f>Raw_Data!B878</f>
        <v>a</v>
      </c>
      <c r="F878" s="4">
        <f>Raw_Data!C878</f>
        <v>483.68176099999999</v>
      </c>
    </row>
    <row r="879" spans="1:6" thickTop="1" thickBot="1" x14ac:dyDescent="0.35">
      <c r="A879" s="5">
        <f>Raw_Data!D879</f>
        <v>44586</v>
      </c>
      <c r="B879" s="4">
        <f>YEAR(A879)</f>
        <v>2022</v>
      </c>
      <c r="C879" s="4" t="str">
        <f>TEXT(A879,"mmmm")</f>
        <v>January</v>
      </c>
      <c r="D879" s="4">
        <f>Raw_Data!A879</f>
        <v>20</v>
      </c>
      <c r="E879" s="4" t="str">
        <f>Raw_Data!B879</f>
        <v>j</v>
      </c>
      <c r="F879" s="4">
        <f>Raw_Data!C879</f>
        <v>596.66371070000002</v>
      </c>
    </row>
    <row r="880" spans="1:6" thickTop="1" thickBot="1" x14ac:dyDescent="0.35">
      <c r="A880" s="5">
        <f>Raw_Data!D880</f>
        <v>44901</v>
      </c>
      <c r="B880" s="4">
        <f>YEAR(A880)</f>
        <v>2022</v>
      </c>
      <c r="C880" s="4" t="str">
        <f>TEXT(A880,"mmmm")</f>
        <v>December</v>
      </c>
      <c r="D880" s="4">
        <f>Raw_Data!A880</f>
        <v>11</v>
      </c>
      <c r="E880" s="4" t="str">
        <f>Raw_Data!B880</f>
        <v>e</v>
      </c>
      <c r="F880" s="4">
        <f>Raw_Data!C880</f>
        <v>534.74852620000001</v>
      </c>
    </row>
    <row r="881" spans="1:6" thickTop="1" thickBot="1" x14ac:dyDescent="0.35">
      <c r="A881" s="5">
        <f>Raw_Data!D881</f>
        <v>44679</v>
      </c>
      <c r="B881" s="4">
        <f>YEAR(A881)</f>
        <v>2022</v>
      </c>
      <c r="C881" s="4" t="str">
        <f>TEXT(A881,"mmmm")</f>
        <v>April</v>
      </c>
      <c r="D881" s="4">
        <f>Raw_Data!A881</f>
        <v>18</v>
      </c>
      <c r="E881" s="4" t="str">
        <f>Raw_Data!B881</f>
        <v>h</v>
      </c>
      <c r="F881" s="4">
        <f>Raw_Data!C881</f>
        <v>516.63778260000004</v>
      </c>
    </row>
    <row r="882" spans="1:6" thickTop="1" thickBot="1" x14ac:dyDescent="0.35">
      <c r="A882" s="5">
        <f>Raw_Data!D882</f>
        <v>44571</v>
      </c>
      <c r="B882" s="4">
        <f>YEAR(A882)</f>
        <v>2022</v>
      </c>
      <c r="C882" s="4" t="str">
        <f>TEXT(A882,"mmmm")</f>
        <v>January</v>
      </c>
      <c r="D882" s="4">
        <f>Raw_Data!A882</f>
        <v>54</v>
      </c>
      <c r="E882" s="4" t="str">
        <f>Raw_Data!B882</f>
        <v>h</v>
      </c>
      <c r="F882" s="4">
        <f>Raw_Data!C882</f>
        <v>375.21894350000002</v>
      </c>
    </row>
    <row r="883" spans="1:6" thickTop="1" thickBot="1" x14ac:dyDescent="0.35">
      <c r="A883" s="5">
        <f>Raw_Data!D883</f>
        <v>44867</v>
      </c>
      <c r="B883" s="4">
        <f>YEAR(A883)</f>
        <v>2022</v>
      </c>
      <c r="C883" s="4" t="str">
        <f>TEXT(A883,"mmmm")</f>
        <v>November</v>
      </c>
      <c r="D883" s="4">
        <f>Raw_Data!A883</f>
        <v>14</v>
      </c>
      <c r="E883" s="4" t="str">
        <f>Raw_Data!B883</f>
        <v>a</v>
      </c>
      <c r="F883" s="4">
        <f>Raw_Data!C883</f>
        <v>401.51868480000002</v>
      </c>
    </row>
    <row r="884" spans="1:6" thickTop="1" thickBot="1" x14ac:dyDescent="0.35">
      <c r="A884" s="5">
        <f>Raw_Data!D884</f>
        <v>44690</v>
      </c>
      <c r="B884" s="4">
        <f>YEAR(A884)</f>
        <v>2022</v>
      </c>
      <c r="C884" s="4" t="str">
        <f>TEXT(A884,"mmmm")</f>
        <v>May</v>
      </c>
      <c r="D884" s="4">
        <f>Raw_Data!A884</f>
        <v>67</v>
      </c>
      <c r="E884" s="4" t="str">
        <f>Raw_Data!B884</f>
        <v>g</v>
      </c>
      <c r="F884" s="4">
        <f>Raw_Data!C884</f>
        <v>544.12265679999996</v>
      </c>
    </row>
    <row r="885" spans="1:6" thickTop="1" thickBot="1" x14ac:dyDescent="0.35">
      <c r="A885" s="5">
        <f>Raw_Data!D885</f>
        <v>44838</v>
      </c>
      <c r="B885" s="4">
        <f>YEAR(A885)</f>
        <v>2022</v>
      </c>
      <c r="C885" s="4" t="str">
        <f>TEXT(A885,"mmmm")</f>
        <v>October</v>
      </c>
      <c r="D885" s="4">
        <f>Raw_Data!A885</f>
        <v>92</v>
      </c>
      <c r="E885" s="4" t="str">
        <f>Raw_Data!B885</f>
        <v>c</v>
      </c>
      <c r="F885" s="4">
        <f>Raw_Data!C885</f>
        <v>437.77106550000002</v>
      </c>
    </row>
    <row r="886" spans="1:6" thickTop="1" thickBot="1" x14ac:dyDescent="0.35">
      <c r="A886" s="5">
        <f>Raw_Data!D886</f>
        <v>44661</v>
      </c>
      <c r="B886" s="4">
        <f>YEAR(A886)</f>
        <v>2022</v>
      </c>
      <c r="C886" s="4" t="str">
        <f>TEXT(A886,"mmmm")</f>
        <v>April</v>
      </c>
      <c r="D886" s="4">
        <f>Raw_Data!A886</f>
        <v>67</v>
      </c>
      <c r="E886" s="4" t="str">
        <f>Raw_Data!B886</f>
        <v>j</v>
      </c>
      <c r="F886" s="4">
        <f>Raw_Data!C886</f>
        <v>269.88882699999999</v>
      </c>
    </row>
    <row r="887" spans="1:6" thickTop="1" thickBot="1" x14ac:dyDescent="0.35">
      <c r="A887" s="5">
        <f>Raw_Data!D887</f>
        <v>44751</v>
      </c>
      <c r="B887" s="4">
        <f>YEAR(A887)</f>
        <v>2022</v>
      </c>
      <c r="C887" s="4" t="str">
        <f>TEXT(A887,"mmmm")</f>
        <v>July</v>
      </c>
      <c r="D887" s="4">
        <f>Raw_Data!A887</f>
        <v>92</v>
      </c>
      <c r="E887" s="4" t="str">
        <f>Raw_Data!B887</f>
        <v>d</v>
      </c>
      <c r="F887" s="4">
        <f>Raw_Data!C887</f>
        <v>553.53782230000002</v>
      </c>
    </row>
    <row r="888" spans="1:6" thickTop="1" thickBot="1" x14ac:dyDescent="0.35">
      <c r="A888" s="5">
        <f>Raw_Data!D888</f>
        <v>44587</v>
      </c>
      <c r="B888" s="4">
        <f>YEAR(A888)</f>
        <v>2022</v>
      </c>
      <c r="C888" s="4" t="str">
        <f>TEXT(A888,"mmmm")</f>
        <v>January</v>
      </c>
      <c r="D888" s="4">
        <f>Raw_Data!A888</f>
        <v>93</v>
      </c>
      <c r="E888" s="4" t="str">
        <f>Raw_Data!B888</f>
        <v>g</v>
      </c>
      <c r="F888" s="4">
        <f>Raw_Data!C888</f>
        <v>695.39019670000005</v>
      </c>
    </row>
    <row r="889" spans="1:6" thickTop="1" thickBot="1" x14ac:dyDescent="0.35">
      <c r="A889" s="5">
        <f>Raw_Data!D889</f>
        <v>44641</v>
      </c>
      <c r="B889" s="4">
        <f>YEAR(A889)</f>
        <v>2022</v>
      </c>
      <c r="C889" s="4" t="str">
        <f>TEXT(A889,"mmmm")</f>
        <v>March</v>
      </c>
      <c r="D889" s="4">
        <f>Raw_Data!A889</f>
        <v>39</v>
      </c>
      <c r="E889" s="4" t="str">
        <f>Raw_Data!B889</f>
        <v>g</v>
      </c>
      <c r="F889" s="4">
        <f>Raw_Data!C889</f>
        <v>623.18778229999998</v>
      </c>
    </row>
    <row r="890" spans="1:6" thickTop="1" thickBot="1" x14ac:dyDescent="0.35">
      <c r="A890" s="5">
        <f>Raw_Data!D890</f>
        <v>44749</v>
      </c>
      <c r="B890" s="4">
        <f>YEAR(A890)</f>
        <v>2022</v>
      </c>
      <c r="C890" s="4" t="str">
        <f>TEXT(A890,"mmmm")</f>
        <v>July</v>
      </c>
      <c r="D890" s="4">
        <f>Raw_Data!A890</f>
        <v>23</v>
      </c>
      <c r="E890" s="4" t="str">
        <f>Raw_Data!B890</f>
        <v>g</v>
      </c>
      <c r="F890" s="4">
        <f>Raw_Data!C890</f>
        <v>459.68178640000002</v>
      </c>
    </row>
    <row r="891" spans="1:6" thickTop="1" thickBot="1" x14ac:dyDescent="0.35">
      <c r="A891" s="5">
        <f>Raw_Data!D891</f>
        <v>44615</v>
      </c>
      <c r="B891" s="4">
        <f>YEAR(A891)</f>
        <v>2022</v>
      </c>
      <c r="C891" s="4" t="str">
        <f>TEXT(A891,"mmmm")</f>
        <v>February</v>
      </c>
      <c r="D891" s="4">
        <f>Raw_Data!A891</f>
        <v>79</v>
      </c>
      <c r="E891" s="4" t="str">
        <f>Raw_Data!B891</f>
        <v>f</v>
      </c>
      <c r="F891" s="4">
        <f>Raw_Data!C891</f>
        <v>376.6212357</v>
      </c>
    </row>
    <row r="892" spans="1:6" thickTop="1" thickBot="1" x14ac:dyDescent="0.35">
      <c r="A892" s="5">
        <f>Raw_Data!D892</f>
        <v>44751</v>
      </c>
      <c r="B892" s="4">
        <f>YEAR(A892)</f>
        <v>2022</v>
      </c>
      <c r="C892" s="4" t="str">
        <f>TEXT(A892,"mmmm")</f>
        <v>July</v>
      </c>
      <c r="D892" s="4">
        <f>Raw_Data!A892</f>
        <v>87</v>
      </c>
      <c r="E892" s="4" t="str">
        <f>Raw_Data!B892</f>
        <v>i</v>
      </c>
      <c r="F892" s="4">
        <f>Raw_Data!C892</f>
        <v>468.1029001</v>
      </c>
    </row>
    <row r="893" spans="1:6" thickTop="1" thickBot="1" x14ac:dyDescent="0.35">
      <c r="A893" s="5">
        <f>Raw_Data!D893</f>
        <v>44691</v>
      </c>
      <c r="B893" s="4">
        <f>YEAR(A893)</f>
        <v>2022</v>
      </c>
      <c r="C893" s="4" t="str">
        <f>TEXT(A893,"mmmm")</f>
        <v>May</v>
      </c>
      <c r="D893" s="4">
        <f>Raw_Data!A893</f>
        <v>88</v>
      </c>
      <c r="E893" s="4" t="str">
        <f>Raw_Data!B893</f>
        <v>d</v>
      </c>
      <c r="F893" s="4">
        <f>Raw_Data!C893</f>
        <v>542.87227919999998</v>
      </c>
    </row>
    <row r="894" spans="1:6" thickTop="1" thickBot="1" x14ac:dyDescent="0.35">
      <c r="A894" s="5">
        <f>Raw_Data!D894</f>
        <v>44785</v>
      </c>
      <c r="B894" s="4">
        <f>YEAR(A894)</f>
        <v>2022</v>
      </c>
      <c r="C894" s="4" t="str">
        <f>TEXT(A894,"mmmm")</f>
        <v>August</v>
      </c>
      <c r="D894" s="4">
        <f>Raw_Data!A894</f>
        <v>40</v>
      </c>
      <c r="E894" s="4" t="str">
        <f>Raw_Data!B894</f>
        <v>i</v>
      </c>
      <c r="F894" s="4">
        <f>Raw_Data!C894</f>
        <v>491.06362000000001</v>
      </c>
    </row>
    <row r="895" spans="1:6" thickTop="1" thickBot="1" x14ac:dyDescent="0.35">
      <c r="A895" s="5">
        <f>Raw_Data!D895</f>
        <v>44843</v>
      </c>
      <c r="B895" s="4">
        <f>YEAR(A895)</f>
        <v>2022</v>
      </c>
      <c r="C895" s="4" t="str">
        <f>TEXT(A895,"mmmm")</f>
        <v>October</v>
      </c>
      <c r="D895" s="4">
        <f>Raw_Data!A895</f>
        <v>33</v>
      </c>
      <c r="E895" s="4" t="str">
        <f>Raw_Data!B895</f>
        <v>c</v>
      </c>
      <c r="F895" s="4">
        <f>Raw_Data!C895</f>
        <v>513.28091540000003</v>
      </c>
    </row>
    <row r="896" spans="1:6" thickTop="1" thickBot="1" x14ac:dyDescent="0.35">
      <c r="A896" s="5">
        <f>Raw_Data!D896</f>
        <v>44786</v>
      </c>
      <c r="B896" s="4">
        <f>YEAR(A896)</f>
        <v>2022</v>
      </c>
      <c r="C896" s="4" t="str">
        <f>TEXT(A896,"mmmm")</f>
        <v>August</v>
      </c>
      <c r="D896" s="4">
        <f>Raw_Data!A896</f>
        <v>37</v>
      </c>
      <c r="E896" s="4" t="str">
        <f>Raw_Data!B896</f>
        <v>c</v>
      </c>
      <c r="F896" s="4">
        <f>Raw_Data!C896</f>
        <v>585.95507750000002</v>
      </c>
    </row>
    <row r="897" spans="1:6" thickTop="1" thickBot="1" x14ac:dyDescent="0.35">
      <c r="A897" s="5">
        <f>Raw_Data!D897</f>
        <v>44889</v>
      </c>
      <c r="B897" s="4">
        <f>YEAR(A897)</f>
        <v>2022</v>
      </c>
      <c r="C897" s="4" t="str">
        <f>TEXT(A897,"mmmm")</f>
        <v>November</v>
      </c>
      <c r="D897" s="4">
        <f>Raw_Data!A897</f>
        <v>60</v>
      </c>
      <c r="E897" s="4" t="str">
        <f>Raw_Data!B897</f>
        <v>h</v>
      </c>
      <c r="F897" s="4">
        <f>Raw_Data!C897</f>
        <v>416.34561380000002</v>
      </c>
    </row>
    <row r="898" spans="1:6" thickTop="1" thickBot="1" x14ac:dyDescent="0.35">
      <c r="A898" s="5">
        <f>Raw_Data!D898</f>
        <v>44878</v>
      </c>
      <c r="B898" s="4">
        <f>YEAR(A898)</f>
        <v>2022</v>
      </c>
      <c r="C898" s="4" t="str">
        <f>TEXT(A898,"mmmm")</f>
        <v>November</v>
      </c>
      <c r="D898" s="4">
        <f>Raw_Data!A898</f>
        <v>29</v>
      </c>
      <c r="E898" s="4" t="str">
        <f>Raw_Data!B898</f>
        <v>i</v>
      </c>
      <c r="F898" s="4">
        <f>Raw_Data!C898</f>
        <v>528.70220019999999</v>
      </c>
    </row>
    <row r="899" spans="1:6" thickTop="1" thickBot="1" x14ac:dyDescent="0.35">
      <c r="A899" s="5">
        <f>Raw_Data!D899</f>
        <v>44656</v>
      </c>
      <c r="B899" s="4">
        <f>YEAR(A899)</f>
        <v>2022</v>
      </c>
      <c r="C899" s="4" t="str">
        <f>TEXT(A899,"mmmm")</f>
        <v>April</v>
      </c>
      <c r="D899" s="4">
        <f>Raw_Data!A899</f>
        <v>70</v>
      </c>
      <c r="E899" s="4" t="str">
        <f>Raw_Data!B899</f>
        <v>a</v>
      </c>
      <c r="F899" s="4">
        <f>Raw_Data!C899</f>
        <v>551.66475679999996</v>
      </c>
    </row>
    <row r="900" spans="1:6" thickTop="1" thickBot="1" x14ac:dyDescent="0.35">
      <c r="A900" s="5">
        <f>Raw_Data!D900</f>
        <v>44612</v>
      </c>
      <c r="B900" s="4">
        <f>YEAR(A900)</f>
        <v>2022</v>
      </c>
      <c r="C900" s="4" t="str">
        <f>TEXT(A900,"mmmm")</f>
        <v>February</v>
      </c>
      <c r="D900" s="4">
        <f>Raw_Data!A900</f>
        <v>25</v>
      </c>
      <c r="E900" s="4" t="str">
        <f>Raw_Data!B900</f>
        <v>d</v>
      </c>
      <c r="F900" s="4">
        <f>Raw_Data!C900</f>
        <v>664.87022839999997</v>
      </c>
    </row>
    <row r="901" spans="1:6" thickTop="1" thickBot="1" x14ac:dyDescent="0.35">
      <c r="A901" s="5">
        <f>Raw_Data!D901</f>
        <v>44880</v>
      </c>
      <c r="B901" s="4">
        <f>YEAR(A901)</f>
        <v>2022</v>
      </c>
      <c r="C901" s="4" t="str">
        <f>TEXT(A901,"mmmm")</f>
        <v>November</v>
      </c>
      <c r="D901" s="4">
        <f>Raw_Data!A901</f>
        <v>42</v>
      </c>
      <c r="E901" s="4" t="str">
        <f>Raw_Data!B901</f>
        <v>j</v>
      </c>
      <c r="F901" s="4">
        <f>Raw_Data!C901</f>
        <v>207.33714119999999</v>
      </c>
    </row>
    <row r="902" spans="1:6" thickTop="1" thickBot="1" x14ac:dyDescent="0.35">
      <c r="A902" s="5">
        <f>Raw_Data!D902</f>
        <v>44796</v>
      </c>
      <c r="B902" s="4">
        <f>YEAR(A902)</f>
        <v>2022</v>
      </c>
      <c r="C902" s="4" t="str">
        <f>TEXT(A902,"mmmm")</f>
        <v>August</v>
      </c>
      <c r="D902" s="4">
        <f>Raw_Data!A902</f>
        <v>26</v>
      </c>
      <c r="E902" s="4" t="str">
        <f>Raw_Data!B902</f>
        <v>a</v>
      </c>
      <c r="F902" s="4">
        <f>Raw_Data!C902</f>
        <v>459.8976035</v>
      </c>
    </row>
    <row r="903" spans="1:6" thickTop="1" thickBot="1" x14ac:dyDescent="0.35">
      <c r="A903" s="5">
        <f>Raw_Data!D903</f>
        <v>44798</v>
      </c>
      <c r="B903" s="4">
        <f>YEAR(A903)</f>
        <v>2022</v>
      </c>
      <c r="C903" s="4" t="str">
        <f>TEXT(A903,"mmmm")</f>
        <v>August</v>
      </c>
      <c r="D903" s="4">
        <f>Raw_Data!A903</f>
        <v>88</v>
      </c>
      <c r="E903" s="4" t="str">
        <f>Raw_Data!B903</f>
        <v>j</v>
      </c>
      <c r="F903" s="4">
        <f>Raw_Data!C903</f>
        <v>226.64873230000001</v>
      </c>
    </row>
    <row r="904" spans="1:6" thickTop="1" thickBot="1" x14ac:dyDescent="0.35">
      <c r="A904" s="5">
        <f>Raw_Data!D904</f>
        <v>44808</v>
      </c>
      <c r="B904" s="4">
        <f>YEAR(A904)</f>
        <v>2022</v>
      </c>
      <c r="C904" s="4" t="str">
        <f>TEXT(A904,"mmmm")</f>
        <v>September</v>
      </c>
      <c r="D904" s="4">
        <f>Raw_Data!A904</f>
        <v>44</v>
      </c>
      <c r="E904" s="4" t="str">
        <f>Raw_Data!B904</f>
        <v>e</v>
      </c>
      <c r="F904" s="4">
        <f>Raw_Data!C904</f>
        <v>454.45294999999999</v>
      </c>
    </row>
    <row r="905" spans="1:6" thickTop="1" thickBot="1" x14ac:dyDescent="0.35">
      <c r="A905" s="5">
        <f>Raw_Data!D905</f>
        <v>44846</v>
      </c>
      <c r="B905" s="4">
        <f>YEAR(A905)</f>
        <v>2022</v>
      </c>
      <c r="C905" s="4" t="str">
        <f>TEXT(A905,"mmmm")</f>
        <v>October</v>
      </c>
      <c r="D905" s="4">
        <f>Raw_Data!A905</f>
        <v>96</v>
      </c>
      <c r="E905" s="4" t="str">
        <f>Raw_Data!B905</f>
        <v>i</v>
      </c>
      <c r="F905" s="4">
        <f>Raw_Data!C905</f>
        <v>593.58497320000004</v>
      </c>
    </row>
    <row r="906" spans="1:6" thickTop="1" thickBot="1" x14ac:dyDescent="0.35">
      <c r="A906" s="5">
        <f>Raw_Data!D906</f>
        <v>44707</v>
      </c>
      <c r="B906" s="4">
        <f>YEAR(A906)</f>
        <v>2022</v>
      </c>
      <c r="C906" s="4" t="str">
        <f>TEXT(A906,"mmmm")</f>
        <v>May</v>
      </c>
      <c r="D906" s="4">
        <f>Raw_Data!A906</f>
        <v>8</v>
      </c>
      <c r="E906" s="4" t="str">
        <f>Raw_Data!B906</f>
        <v>e</v>
      </c>
      <c r="F906" s="4">
        <f>Raw_Data!C906</f>
        <v>465.91751349999998</v>
      </c>
    </row>
    <row r="907" spans="1:6" thickTop="1" thickBot="1" x14ac:dyDescent="0.35">
      <c r="A907" s="5">
        <f>Raw_Data!D907</f>
        <v>44658</v>
      </c>
      <c r="B907" s="4">
        <f>YEAR(A907)</f>
        <v>2022</v>
      </c>
      <c r="C907" s="4" t="str">
        <f>TEXT(A907,"mmmm")</f>
        <v>April</v>
      </c>
      <c r="D907" s="4">
        <f>Raw_Data!A907</f>
        <v>16</v>
      </c>
      <c r="E907" s="4" t="str">
        <f>Raw_Data!B907</f>
        <v>h</v>
      </c>
      <c r="F907" s="4">
        <f>Raw_Data!C907</f>
        <v>469.88274740000003</v>
      </c>
    </row>
    <row r="908" spans="1:6" thickTop="1" thickBot="1" x14ac:dyDescent="0.35">
      <c r="A908" s="5">
        <f>Raw_Data!D908</f>
        <v>44585</v>
      </c>
      <c r="B908" s="4">
        <f>YEAR(A908)</f>
        <v>2022</v>
      </c>
      <c r="C908" s="4" t="str">
        <f>TEXT(A908,"mmmm")</f>
        <v>January</v>
      </c>
      <c r="D908" s="4">
        <f>Raw_Data!A908</f>
        <v>39</v>
      </c>
      <c r="E908" s="4" t="str">
        <f>Raw_Data!B908</f>
        <v>d</v>
      </c>
      <c r="F908" s="4">
        <f>Raw_Data!C908</f>
        <v>574.48420109999995</v>
      </c>
    </row>
    <row r="909" spans="1:6" thickTop="1" thickBot="1" x14ac:dyDescent="0.35">
      <c r="A909" s="5">
        <f>Raw_Data!D909</f>
        <v>44799</v>
      </c>
      <c r="B909" s="4">
        <f>YEAR(A909)</f>
        <v>2022</v>
      </c>
      <c r="C909" s="4" t="str">
        <f>TEXT(A909,"mmmm")</f>
        <v>August</v>
      </c>
      <c r="D909" s="4">
        <f>Raw_Data!A909</f>
        <v>96</v>
      </c>
      <c r="E909" s="4" t="str">
        <f>Raw_Data!B909</f>
        <v>b</v>
      </c>
      <c r="F909" s="4">
        <f>Raw_Data!C909</f>
        <v>429.67872110000002</v>
      </c>
    </row>
    <row r="910" spans="1:6" thickTop="1" thickBot="1" x14ac:dyDescent="0.35">
      <c r="A910" s="5">
        <f>Raw_Data!D910</f>
        <v>44784</v>
      </c>
      <c r="B910" s="4">
        <f>YEAR(A910)</f>
        <v>2022</v>
      </c>
      <c r="C910" s="4" t="str">
        <f>TEXT(A910,"mmmm")</f>
        <v>August</v>
      </c>
      <c r="D910" s="4">
        <f>Raw_Data!A910</f>
        <v>65</v>
      </c>
      <c r="E910" s="4" t="str">
        <f>Raw_Data!B910</f>
        <v>a</v>
      </c>
      <c r="F910" s="4">
        <f>Raw_Data!C910</f>
        <v>621.67424329999994</v>
      </c>
    </row>
    <row r="911" spans="1:6" thickTop="1" thickBot="1" x14ac:dyDescent="0.35">
      <c r="A911" s="5">
        <f>Raw_Data!D911</f>
        <v>44566</v>
      </c>
      <c r="B911" s="4">
        <f>YEAR(A911)</f>
        <v>2022</v>
      </c>
      <c r="C911" s="4" t="str">
        <f>TEXT(A911,"mmmm")</f>
        <v>January</v>
      </c>
      <c r="D911" s="4">
        <f>Raw_Data!A911</f>
        <v>94</v>
      </c>
      <c r="E911" s="4" t="str">
        <f>Raw_Data!B911</f>
        <v>c</v>
      </c>
      <c r="F911" s="4">
        <f>Raw_Data!C911</f>
        <v>631.9372783</v>
      </c>
    </row>
    <row r="912" spans="1:6" thickTop="1" thickBot="1" x14ac:dyDescent="0.35">
      <c r="A912" s="5">
        <f>Raw_Data!D912</f>
        <v>44623</v>
      </c>
      <c r="B912" s="4">
        <f>YEAR(A912)</f>
        <v>2022</v>
      </c>
      <c r="C912" s="4" t="str">
        <f>TEXT(A912,"mmmm")</f>
        <v>March</v>
      </c>
      <c r="D912" s="4">
        <f>Raw_Data!A912</f>
        <v>58</v>
      </c>
      <c r="E912" s="4" t="str">
        <f>Raw_Data!B912</f>
        <v>g</v>
      </c>
      <c r="F912" s="4">
        <f>Raw_Data!C912</f>
        <v>513.88287309999998</v>
      </c>
    </row>
    <row r="913" spans="1:6" thickTop="1" thickBot="1" x14ac:dyDescent="0.35">
      <c r="A913" s="5">
        <f>Raw_Data!D913</f>
        <v>44583</v>
      </c>
      <c r="B913" s="4">
        <f>YEAR(A913)</f>
        <v>2022</v>
      </c>
      <c r="C913" s="4" t="str">
        <f>TEXT(A913,"mmmm")</f>
        <v>January</v>
      </c>
      <c r="D913" s="4">
        <f>Raw_Data!A913</f>
        <v>89</v>
      </c>
      <c r="E913" s="4" t="str">
        <f>Raw_Data!B913</f>
        <v>h</v>
      </c>
      <c r="F913" s="4">
        <f>Raw_Data!C913</f>
        <v>543.63174749999996</v>
      </c>
    </row>
    <row r="914" spans="1:6" thickTop="1" thickBot="1" x14ac:dyDescent="0.35">
      <c r="A914" s="5">
        <f>Raw_Data!D914</f>
        <v>44713</v>
      </c>
      <c r="B914" s="4">
        <f>YEAR(A914)</f>
        <v>2022</v>
      </c>
      <c r="C914" s="4" t="str">
        <f>TEXT(A914,"mmmm")</f>
        <v>June</v>
      </c>
      <c r="D914" s="4">
        <f>Raw_Data!A914</f>
        <v>56</v>
      </c>
      <c r="E914" s="4" t="str">
        <f>Raw_Data!B914</f>
        <v>e</v>
      </c>
      <c r="F914" s="4">
        <f>Raw_Data!C914</f>
        <v>701.28542789999995</v>
      </c>
    </row>
    <row r="915" spans="1:6" thickTop="1" thickBot="1" x14ac:dyDescent="0.35">
      <c r="A915" s="5">
        <f>Raw_Data!D915</f>
        <v>44861</v>
      </c>
      <c r="B915" s="4">
        <f>YEAR(A915)</f>
        <v>2022</v>
      </c>
      <c r="C915" s="4" t="str">
        <f>TEXT(A915,"mmmm")</f>
        <v>October</v>
      </c>
      <c r="D915" s="4">
        <f>Raw_Data!A915</f>
        <v>43</v>
      </c>
      <c r="E915" s="4" t="str">
        <f>Raw_Data!B915</f>
        <v>b</v>
      </c>
      <c r="F915" s="4">
        <f>Raw_Data!C915</f>
        <v>562.61023590000002</v>
      </c>
    </row>
    <row r="916" spans="1:6" thickTop="1" thickBot="1" x14ac:dyDescent="0.35">
      <c r="A916" s="5">
        <f>Raw_Data!D916</f>
        <v>44714</v>
      </c>
      <c r="B916" s="4">
        <f>YEAR(A916)</f>
        <v>2022</v>
      </c>
      <c r="C916" s="4" t="str">
        <f>TEXT(A916,"mmmm")</f>
        <v>June</v>
      </c>
      <c r="D916" s="4">
        <f>Raw_Data!A916</f>
        <v>67</v>
      </c>
      <c r="E916" s="4" t="str">
        <f>Raw_Data!B916</f>
        <v>i</v>
      </c>
      <c r="F916" s="4">
        <f>Raw_Data!C916</f>
        <v>489.10857349999998</v>
      </c>
    </row>
    <row r="917" spans="1:6" thickTop="1" thickBot="1" x14ac:dyDescent="0.35">
      <c r="A917" s="5">
        <f>Raw_Data!D917</f>
        <v>44793</v>
      </c>
      <c r="B917" s="4">
        <f>YEAR(A917)</f>
        <v>2022</v>
      </c>
      <c r="C917" s="4" t="str">
        <f>TEXT(A917,"mmmm")</f>
        <v>August</v>
      </c>
      <c r="D917" s="4">
        <f>Raw_Data!A917</f>
        <v>56</v>
      </c>
      <c r="E917" s="4" t="str">
        <f>Raw_Data!B917</f>
        <v>j</v>
      </c>
      <c r="F917" s="4">
        <f>Raw_Data!C917</f>
        <v>550.25017009999999</v>
      </c>
    </row>
    <row r="918" spans="1:6" thickTop="1" thickBot="1" x14ac:dyDescent="0.35">
      <c r="A918" s="5">
        <f>Raw_Data!D918</f>
        <v>44870</v>
      </c>
      <c r="B918" s="4">
        <f>YEAR(A918)</f>
        <v>2022</v>
      </c>
      <c r="C918" s="4" t="str">
        <f>TEXT(A918,"mmmm")</f>
        <v>November</v>
      </c>
      <c r="D918" s="4">
        <f>Raw_Data!A918</f>
        <v>22</v>
      </c>
      <c r="E918" s="4" t="str">
        <f>Raw_Data!B918</f>
        <v>e</v>
      </c>
      <c r="F918" s="4">
        <f>Raw_Data!C918</f>
        <v>549.52791139999999</v>
      </c>
    </row>
    <row r="919" spans="1:6" thickTop="1" thickBot="1" x14ac:dyDescent="0.35">
      <c r="A919" s="5">
        <f>Raw_Data!D919</f>
        <v>44919</v>
      </c>
      <c r="B919" s="4">
        <f>YEAR(A919)</f>
        <v>2022</v>
      </c>
      <c r="C919" s="4" t="str">
        <f>TEXT(A919,"mmmm")</f>
        <v>December</v>
      </c>
      <c r="D919" s="4">
        <f>Raw_Data!A919</f>
        <v>17</v>
      </c>
      <c r="E919" s="4" t="str">
        <f>Raw_Data!B919</f>
        <v>f</v>
      </c>
      <c r="F919" s="4">
        <f>Raw_Data!C919</f>
        <v>336.42575859999999</v>
      </c>
    </row>
    <row r="920" spans="1:6" thickTop="1" thickBot="1" x14ac:dyDescent="0.35">
      <c r="A920" s="5">
        <f>Raw_Data!D920</f>
        <v>44712</v>
      </c>
      <c r="B920" s="4">
        <f>YEAR(A920)</f>
        <v>2022</v>
      </c>
      <c r="C920" s="4" t="str">
        <f>TEXT(A920,"mmmm")</f>
        <v>May</v>
      </c>
      <c r="D920" s="4">
        <f>Raw_Data!A920</f>
        <v>84</v>
      </c>
      <c r="E920" s="4" t="str">
        <f>Raw_Data!B920</f>
        <v>j</v>
      </c>
      <c r="F920" s="4">
        <f>Raw_Data!C920</f>
        <v>566.39915919999999</v>
      </c>
    </row>
    <row r="921" spans="1:6" thickTop="1" thickBot="1" x14ac:dyDescent="0.35">
      <c r="A921" s="5">
        <f>Raw_Data!D921</f>
        <v>44607</v>
      </c>
      <c r="B921" s="4">
        <f>YEAR(A921)</f>
        <v>2022</v>
      </c>
      <c r="C921" s="4" t="str">
        <f>TEXT(A921,"mmmm")</f>
        <v>February</v>
      </c>
      <c r="D921" s="4">
        <f>Raw_Data!A921</f>
        <v>99</v>
      </c>
      <c r="E921" s="4" t="str">
        <f>Raw_Data!B921</f>
        <v>f</v>
      </c>
      <c r="F921" s="4">
        <f>Raw_Data!C921</f>
        <v>614.77973450000002</v>
      </c>
    </row>
    <row r="922" spans="1:6" thickTop="1" thickBot="1" x14ac:dyDescent="0.35">
      <c r="A922" s="5">
        <f>Raw_Data!D922</f>
        <v>44578</v>
      </c>
      <c r="B922" s="4">
        <f>YEAR(A922)</f>
        <v>2022</v>
      </c>
      <c r="C922" s="4" t="str">
        <f>TEXT(A922,"mmmm")</f>
        <v>January</v>
      </c>
      <c r="D922" s="4">
        <f>Raw_Data!A922</f>
        <v>14</v>
      </c>
      <c r="E922" s="4" t="str">
        <f>Raw_Data!B922</f>
        <v>g</v>
      </c>
      <c r="F922" s="4">
        <f>Raw_Data!C922</f>
        <v>618.78602330000001</v>
      </c>
    </row>
    <row r="923" spans="1:6" thickTop="1" thickBot="1" x14ac:dyDescent="0.35">
      <c r="A923" s="5">
        <f>Raw_Data!D923</f>
        <v>44730</v>
      </c>
      <c r="B923" s="4">
        <f>YEAR(A923)</f>
        <v>2022</v>
      </c>
      <c r="C923" s="4" t="str">
        <f>TEXT(A923,"mmmm")</f>
        <v>June</v>
      </c>
      <c r="D923" s="4">
        <f>Raw_Data!A923</f>
        <v>64</v>
      </c>
      <c r="E923" s="4" t="str">
        <f>Raw_Data!B923</f>
        <v>d</v>
      </c>
      <c r="F923" s="4">
        <f>Raw_Data!C923</f>
        <v>512.20985029999997</v>
      </c>
    </row>
    <row r="924" spans="1:6" thickTop="1" thickBot="1" x14ac:dyDescent="0.35">
      <c r="A924" s="5">
        <f>Raw_Data!D924</f>
        <v>44761</v>
      </c>
      <c r="B924" s="4">
        <f>YEAR(A924)</f>
        <v>2022</v>
      </c>
      <c r="C924" s="4" t="str">
        <f>TEXT(A924,"mmmm")</f>
        <v>July</v>
      </c>
      <c r="D924" s="4">
        <f>Raw_Data!A924</f>
        <v>24</v>
      </c>
      <c r="E924" s="4" t="str">
        <f>Raw_Data!B924</f>
        <v>f</v>
      </c>
      <c r="F924" s="4">
        <f>Raw_Data!C924</f>
        <v>520.05741020000005</v>
      </c>
    </row>
    <row r="925" spans="1:6" thickTop="1" thickBot="1" x14ac:dyDescent="0.35">
      <c r="A925" s="5">
        <f>Raw_Data!D925</f>
        <v>44603</v>
      </c>
      <c r="B925" s="4">
        <f>YEAR(A925)</f>
        <v>2022</v>
      </c>
      <c r="C925" s="4" t="str">
        <f>TEXT(A925,"mmmm")</f>
        <v>February</v>
      </c>
      <c r="D925" s="4">
        <f>Raw_Data!A925</f>
        <v>94</v>
      </c>
      <c r="E925" s="4" t="str">
        <f>Raw_Data!B925</f>
        <v>f</v>
      </c>
      <c r="F925" s="4">
        <f>Raw_Data!C925</f>
        <v>492.16958499999998</v>
      </c>
    </row>
    <row r="926" spans="1:6" thickTop="1" thickBot="1" x14ac:dyDescent="0.35">
      <c r="A926" s="5">
        <f>Raw_Data!D926</f>
        <v>44644</v>
      </c>
      <c r="B926" s="4">
        <f>YEAR(A926)</f>
        <v>2022</v>
      </c>
      <c r="C926" s="4" t="str">
        <f>TEXT(A926,"mmmm")</f>
        <v>March</v>
      </c>
      <c r="D926" s="4">
        <f>Raw_Data!A926</f>
        <v>8</v>
      </c>
      <c r="E926" s="4" t="str">
        <f>Raw_Data!B926</f>
        <v>i</v>
      </c>
      <c r="F926" s="4">
        <f>Raw_Data!C926</f>
        <v>514.15275310000004</v>
      </c>
    </row>
    <row r="927" spans="1:6" thickTop="1" thickBot="1" x14ac:dyDescent="0.35">
      <c r="A927" s="5">
        <f>Raw_Data!D927</f>
        <v>44883</v>
      </c>
      <c r="B927" s="4">
        <f>YEAR(A927)</f>
        <v>2022</v>
      </c>
      <c r="C927" s="4" t="str">
        <f>TEXT(A927,"mmmm")</f>
        <v>November</v>
      </c>
      <c r="D927" s="4">
        <f>Raw_Data!A927</f>
        <v>20</v>
      </c>
      <c r="E927" s="4" t="str">
        <f>Raw_Data!B927</f>
        <v>c</v>
      </c>
      <c r="F927" s="4">
        <f>Raw_Data!C927</f>
        <v>563.27193890000001</v>
      </c>
    </row>
    <row r="928" spans="1:6" thickTop="1" thickBot="1" x14ac:dyDescent="0.35">
      <c r="A928" s="5">
        <f>Raw_Data!D928</f>
        <v>44740</v>
      </c>
      <c r="B928" s="4">
        <f>YEAR(A928)</f>
        <v>2022</v>
      </c>
      <c r="C928" s="4" t="str">
        <f>TEXT(A928,"mmmm")</f>
        <v>June</v>
      </c>
      <c r="D928" s="4">
        <f>Raw_Data!A928</f>
        <v>74</v>
      </c>
      <c r="E928" s="4" t="str">
        <f>Raw_Data!B928</f>
        <v>e</v>
      </c>
      <c r="F928" s="4">
        <f>Raw_Data!C928</f>
        <v>364.25208570000001</v>
      </c>
    </row>
    <row r="929" spans="1:6" thickTop="1" thickBot="1" x14ac:dyDescent="0.35">
      <c r="A929" s="5">
        <f>Raw_Data!D929</f>
        <v>44759</v>
      </c>
      <c r="B929" s="4">
        <f>YEAR(A929)</f>
        <v>2022</v>
      </c>
      <c r="C929" s="4" t="str">
        <f>TEXT(A929,"mmmm")</f>
        <v>July</v>
      </c>
      <c r="D929" s="4">
        <f>Raw_Data!A929</f>
        <v>86</v>
      </c>
      <c r="E929" s="4" t="str">
        <f>Raw_Data!B929</f>
        <v>j</v>
      </c>
      <c r="F929" s="4">
        <f>Raw_Data!C929</f>
        <v>694.57554560000005</v>
      </c>
    </row>
    <row r="930" spans="1:6" thickTop="1" thickBot="1" x14ac:dyDescent="0.35">
      <c r="A930" s="5">
        <f>Raw_Data!D930</f>
        <v>44723</v>
      </c>
      <c r="B930" s="4">
        <f>YEAR(A930)</f>
        <v>2022</v>
      </c>
      <c r="C930" s="4" t="str">
        <f>TEXT(A930,"mmmm")</f>
        <v>June</v>
      </c>
      <c r="D930" s="4">
        <f>Raw_Data!A930</f>
        <v>50</v>
      </c>
      <c r="E930" s="4" t="str">
        <f>Raw_Data!B930</f>
        <v>e</v>
      </c>
      <c r="F930" s="4">
        <f>Raw_Data!C930</f>
        <v>536.37933829999997</v>
      </c>
    </row>
    <row r="931" spans="1:6" thickTop="1" thickBot="1" x14ac:dyDescent="0.35">
      <c r="A931" s="5">
        <f>Raw_Data!D931</f>
        <v>44664</v>
      </c>
      <c r="B931" s="4">
        <f>YEAR(A931)</f>
        <v>2022</v>
      </c>
      <c r="C931" s="4" t="str">
        <f>TEXT(A931,"mmmm")</f>
        <v>April</v>
      </c>
      <c r="D931" s="4">
        <f>Raw_Data!A931</f>
        <v>17</v>
      </c>
      <c r="E931" s="4" t="str">
        <f>Raw_Data!B931</f>
        <v>i</v>
      </c>
      <c r="F931" s="4">
        <f>Raw_Data!C931</f>
        <v>528.5271573</v>
      </c>
    </row>
    <row r="932" spans="1:6" thickTop="1" thickBot="1" x14ac:dyDescent="0.35">
      <c r="A932" s="5">
        <f>Raw_Data!D932</f>
        <v>44690</v>
      </c>
      <c r="B932" s="4">
        <f>YEAR(A932)</f>
        <v>2022</v>
      </c>
      <c r="C932" s="4" t="str">
        <f>TEXT(A932,"mmmm")</f>
        <v>May</v>
      </c>
      <c r="D932" s="4">
        <f>Raw_Data!A932</f>
        <v>9</v>
      </c>
      <c r="E932" s="4" t="str">
        <f>Raw_Data!B932</f>
        <v>f</v>
      </c>
      <c r="F932" s="4">
        <f>Raw_Data!C932</f>
        <v>577.72570329999996</v>
      </c>
    </row>
    <row r="933" spans="1:6" thickTop="1" thickBot="1" x14ac:dyDescent="0.35">
      <c r="A933" s="5">
        <f>Raw_Data!D933</f>
        <v>44781</v>
      </c>
      <c r="B933" s="4">
        <f>YEAR(A933)</f>
        <v>2022</v>
      </c>
      <c r="C933" s="4" t="str">
        <f>TEXT(A933,"mmmm")</f>
        <v>August</v>
      </c>
      <c r="D933" s="4">
        <f>Raw_Data!A933</f>
        <v>35</v>
      </c>
      <c r="E933" s="4" t="str">
        <f>Raw_Data!B933</f>
        <v>a</v>
      </c>
      <c r="F933" s="4">
        <f>Raw_Data!C933</f>
        <v>339.28727950000001</v>
      </c>
    </row>
    <row r="934" spans="1:6" thickTop="1" thickBot="1" x14ac:dyDescent="0.35">
      <c r="A934" s="5">
        <f>Raw_Data!D934</f>
        <v>44763</v>
      </c>
      <c r="B934" s="4">
        <f>YEAR(A934)</f>
        <v>2022</v>
      </c>
      <c r="C934" s="4" t="str">
        <f>TEXT(A934,"mmmm")</f>
        <v>July</v>
      </c>
      <c r="D934" s="4">
        <f>Raw_Data!A934</f>
        <v>85</v>
      </c>
      <c r="E934" s="4" t="str">
        <f>Raw_Data!B934</f>
        <v>c</v>
      </c>
      <c r="F934" s="4">
        <f>Raw_Data!C934</f>
        <v>481.34775050000002</v>
      </c>
    </row>
    <row r="935" spans="1:6" thickTop="1" thickBot="1" x14ac:dyDescent="0.35">
      <c r="A935" s="5">
        <f>Raw_Data!D935</f>
        <v>44801</v>
      </c>
      <c r="B935" s="4">
        <f>YEAR(A935)</f>
        <v>2022</v>
      </c>
      <c r="C935" s="4" t="str">
        <f>TEXT(A935,"mmmm")</f>
        <v>August</v>
      </c>
      <c r="D935" s="4">
        <f>Raw_Data!A935</f>
        <v>63</v>
      </c>
      <c r="E935" s="4" t="str">
        <f>Raw_Data!B935</f>
        <v>h</v>
      </c>
      <c r="F935" s="4">
        <f>Raw_Data!C935</f>
        <v>565.79111999999998</v>
      </c>
    </row>
    <row r="936" spans="1:6" thickTop="1" thickBot="1" x14ac:dyDescent="0.35">
      <c r="A936" s="5">
        <f>Raw_Data!D936</f>
        <v>44601</v>
      </c>
      <c r="B936" s="4">
        <f>YEAR(A936)</f>
        <v>2022</v>
      </c>
      <c r="C936" s="4" t="str">
        <f>TEXT(A936,"mmmm")</f>
        <v>February</v>
      </c>
      <c r="D936" s="4">
        <f>Raw_Data!A936</f>
        <v>57</v>
      </c>
      <c r="E936" s="4" t="str">
        <f>Raw_Data!B936</f>
        <v>b</v>
      </c>
      <c r="F936" s="4">
        <f>Raw_Data!C936</f>
        <v>490.67531780000002</v>
      </c>
    </row>
    <row r="937" spans="1:6" thickTop="1" thickBot="1" x14ac:dyDescent="0.35">
      <c r="A937" s="5">
        <f>Raw_Data!D937</f>
        <v>44686</v>
      </c>
      <c r="B937" s="4">
        <f>YEAR(A937)</f>
        <v>2022</v>
      </c>
      <c r="C937" s="4" t="str">
        <f>TEXT(A937,"mmmm")</f>
        <v>May</v>
      </c>
      <c r="D937" s="4">
        <f>Raw_Data!A937</f>
        <v>16</v>
      </c>
      <c r="E937" s="4" t="str">
        <f>Raw_Data!B937</f>
        <v>c</v>
      </c>
      <c r="F937" s="4">
        <f>Raw_Data!C937</f>
        <v>488.31245530000001</v>
      </c>
    </row>
    <row r="938" spans="1:6" thickTop="1" thickBot="1" x14ac:dyDescent="0.35">
      <c r="A938" s="5">
        <f>Raw_Data!D938</f>
        <v>44791</v>
      </c>
      <c r="B938" s="4">
        <f>YEAR(A938)</f>
        <v>2022</v>
      </c>
      <c r="C938" s="4" t="str">
        <f>TEXT(A938,"mmmm")</f>
        <v>August</v>
      </c>
      <c r="D938" s="4">
        <f>Raw_Data!A938</f>
        <v>52</v>
      </c>
      <c r="E938" s="4" t="str">
        <f>Raw_Data!B938</f>
        <v>j</v>
      </c>
      <c r="F938" s="4">
        <f>Raw_Data!C938</f>
        <v>435.12189460000002</v>
      </c>
    </row>
    <row r="939" spans="1:6" thickTop="1" thickBot="1" x14ac:dyDescent="0.35">
      <c r="A939" s="5">
        <f>Raw_Data!D939</f>
        <v>44571</v>
      </c>
      <c r="B939" s="4">
        <f>YEAR(A939)</f>
        <v>2022</v>
      </c>
      <c r="C939" s="4" t="str">
        <f>TEXT(A939,"mmmm")</f>
        <v>January</v>
      </c>
      <c r="D939" s="4">
        <f>Raw_Data!A939</f>
        <v>90</v>
      </c>
      <c r="E939" s="4" t="str">
        <f>Raw_Data!B939</f>
        <v>a</v>
      </c>
      <c r="F939" s="4">
        <f>Raw_Data!C939</f>
        <v>576.78961330000004</v>
      </c>
    </row>
    <row r="940" spans="1:6" thickTop="1" thickBot="1" x14ac:dyDescent="0.35">
      <c r="A940" s="5">
        <f>Raw_Data!D940</f>
        <v>44817</v>
      </c>
      <c r="B940" s="4">
        <f>YEAR(A940)</f>
        <v>2022</v>
      </c>
      <c r="C940" s="4" t="str">
        <f>TEXT(A940,"mmmm")</f>
        <v>September</v>
      </c>
      <c r="D940" s="4">
        <f>Raw_Data!A940</f>
        <v>99</v>
      </c>
      <c r="E940" s="4" t="str">
        <f>Raw_Data!B940</f>
        <v>g</v>
      </c>
      <c r="F940" s="4">
        <f>Raw_Data!C940</f>
        <v>450.0065553</v>
      </c>
    </row>
    <row r="941" spans="1:6" thickTop="1" thickBot="1" x14ac:dyDescent="0.35">
      <c r="A941" s="5">
        <f>Raw_Data!D941</f>
        <v>44604</v>
      </c>
      <c r="B941" s="4">
        <f>YEAR(A941)</f>
        <v>2022</v>
      </c>
      <c r="C941" s="4" t="str">
        <f>TEXT(A941,"mmmm")</f>
        <v>February</v>
      </c>
      <c r="D941" s="4">
        <f>Raw_Data!A941</f>
        <v>35</v>
      </c>
      <c r="E941" s="4" t="str">
        <f>Raw_Data!B941</f>
        <v>c</v>
      </c>
      <c r="F941" s="4">
        <f>Raw_Data!C941</f>
        <v>494.95718579999999</v>
      </c>
    </row>
    <row r="942" spans="1:6" thickTop="1" thickBot="1" x14ac:dyDescent="0.35">
      <c r="A942" s="5">
        <f>Raw_Data!D942</f>
        <v>44593</v>
      </c>
      <c r="B942" s="4">
        <f>YEAR(A942)</f>
        <v>2022</v>
      </c>
      <c r="C942" s="4" t="str">
        <f>TEXT(A942,"mmmm")</f>
        <v>February</v>
      </c>
      <c r="D942" s="4">
        <f>Raw_Data!A942</f>
        <v>54</v>
      </c>
      <c r="E942" s="4" t="str">
        <f>Raw_Data!B942</f>
        <v>e</v>
      </c>
      <c r="F942" s="4">
        <f>Raw_Data!C942</f>
        <v>504.44376169999998</v>
      </c>
    </row>
    <row r="943" spans="1:6" thickTop="1" thickBot="1" x14ac:dyDescent="0.35">
      <c r="A943" s="5">
        <f>Raw_Data!D943</f>
        <v>44638</v>
      </c>
      <c r="B943" s="4">
        <f>YEAR(A943)</f>
        <v>2022</v>
      </c>
      <c r="C943" s="4" t="str">
        <f>TEXT(A943,"mmmm")</f>
        <v>March</v>
      </c>
      <c r="D943" s="4">
        <f>Raw_Data!A943</f>
        <v>26</v>
      </c>
      <c r="E943" s="4" t="str">
        <f>Raw_Data!B943</f>
        <v>h</v>
      </c>
      <c r="F943" s="4">
        <f>Raw_Data!C943</f>
        <v>281.53862279999998</v>
      </c>
    </row>
    <row r="944" spans="1:6" thickTop="1" thickBot="1" x14ac:dyDescent="0.35">
      <c r="A944" s="5">
        <f>Raw_Data!D944</f>
        <v>44836</v>
      </c>
      <c r="B944" s="4">
        <f>YEAR(A944)</f>
        <v>2022</v>
      </c>
      <c r="C944" s="4" t="str">
        <f>TEXT(A944,"mmmm")</f>
        <v>October</v>
      </c>
      <c r="D944" s="4">
        <f>Raw_Data!A944</f>
        <v>13</v>
      </c>
      <c r="E944" s="4" t="str">
        <f>Raw_Data!B944</f>
        <v>i</v>
      </c>
      <c r="F944" s="4">
        <f>Raw_Data!C944</f>
        <v>520.08949419999999</v>
      </c>
    </row>
    <row r="945" spans="1:6" thickTop="1" thickBot="1" x14ac:dyDescent="0.35">
      <c r="A945" s="5">
        <f>Raw_Data!D945</f>
        <v>44755</v>
      </c>
      <c r="B945" s="4">
        <f>YEAR(A945)</f>
        <v>2022</v>
      </c>
      <c r="C945" s="4" t="str">
        <f>TEXT(A945,"mmmm")</f>
        <v>July</v>
      </c>
      <c r="D945" s="4">
        <f>Raw_Data!A945</f>
        <v>36</v>
      </c>
      <c r="E945" s="4" t="str">
        <f>Raw_Data!B945</f>
        <v>a</v>
      </c>
      <c r="F945" s="4">
        <f>Raw_Data!C945</f>
        <v>483.26791359999999</v>
      </c>
    </row>
    <row r="946" spans="1:6" thickTop="1" thickBot="1" x14ac:dyDescent="0.35">
      <c r="A946" s="5">
        <f>Raw_Data!D946</f>
        <v>44878</v>
      </c>
      <c r="B946" s="4">
        <f>YEAR(A946)</f>
        <v>2022</v>
      </c>
      <c r="C946" s="4" t="str">
        <f>TEXT(A946,"mmmm")</f>
        <v>November</v>
      </c>
      <c r="D946" s="4">
        <f>Raw_Data!A946</f>
        <v>47</v>
      </c>
      <c r="E946" s="4" t="str">
        <f>Raw_Data!B946</f>
        <v>a</v>
      </c>
      <c r="F946" s="4">
        <f>Raw_Data!C946</f>
        <v>476.9433434</v>
      </c>
    </row>
    <row r="947" spans="1:6" thickTop="1" thickBot="1" x14ac:dyDescent="0.35">
      <c r="A947" s="5">
        <f>Raw_Data!D947</f>
        <v>44904</v>
      </c>
      <c r="B947" s="4">
        <f>YEAR(A947)</f>
        <v>2022</v>
      </c>
      <c r="C947" s="4" t="str">
        <f>TEXT(A947,"mmmm")</f>
        <v>December</v>
      </c>
      <c r="D947" s="4">
        <f>Raw_Data!A947</f>
        <v>25</v>
      </c>
      <c r="E947" s="4" t="str">
        <f>Raw_Data!B947</f>
        <v>a</v>
      </c>
      <c r="F947" s="4">
        <f>Raw_Data!C947</f>
        <v>382.57388450000002</v>
      </c>
    </row>
    <row r="948" spans="1:6" thickTop="1" thickBot="1" x14ac:dyDescent="0.35">
      <c r="A948" s="5">
        <f>Raw_Data!D948</f>
        <v>44615</v>
      </c>
      <c r="B948" s="4">
        <f>YEAR(A948)</f>
        <v>2022</v>
      </c>
      <c r="C948" s="4" t="str">
        <f>TEXT(A948,"mmmm")</f>
        <v>February</v>
      </c>
      <c r="D948" s="4">
        <f>Raw_Data!A948</f>
        <v>28</v>
      </c>
      <c r="E948" s="4" t="str">
        <f>Raw_Data!B948</f>
        <v>e</v>
      </c>
      <c r="F948" s="4">
        <f>Raw_Data!C948</f>
        <v>440.39146340000002</v>
      </c>
    </row>
    <row r="949" spans="1:6" thickTop="1" thickBot="1" x14ac:dyDescent="0.35">
      <c r="A949" s="5">
        <f>Raw_Data!D949</f>
        <v>44742</v>
      </c>
      <c r="B949" s="4">
        <f>YEAR(A949)</f>
        <v>2022</v>
      </c>
      <c r="C949" s="4" t="str">
        <f>TEXT(A949,"mmmm")</f>
        <v>June</v>
      </c>
      <c r="D949" s="4">
        <f>Raw_Data!A949</f>
        <v>29</v>
      </c>
      <c r="E949" s="4" t="str">
        <f>Raw_Data!B949</f>
        <v>h</v>
      </c>
      <c r="F949" s="4">
        <f>Raw_Data!C949</f>
        <v>291.07127350000002</v>
      </c>
    </row>
    <row r="950" spans="1:6" thickTop="1" thickBot="1" x14ac:dyDescent="0.35">
      <c r="A950" s="5">
        <f>Raw_Data!D950</f>
        <v>44834</v>
      </c>
      <c r="B950" s="4">
        <f>YEAR(A950)</f>
        <v>2022</v>
      </c>
      <c r="C950" s="4" t="str">
        <f>TEXT(A950,"mmmm")</f>
        <v>September</v>
      </c>
      <c r="D950" s="4">
        <f>Raw_Data!A950</f>
        <v>77</v>
      </c>
      <c r="E950" s="4" t="str">
        <f>Raw_Data!B950</f>
        <v>e</v>
      </c>
      <c r="F950" s="4">
        <f>Raw_Data!C950</f>
        <v>486.71730530000002</v>
      </c>
    </row>
    <row r="951" spans="1:6" thickTop="1" thickBot="1" x14ac:dyDescent="0.35">
      <c r="A951" s="5">
        <f>Raw_Data!D951</f>
        <v>44693</v>
      </c>
      <c r="B951" s="4">
        <f>YEAR(A951)</f>
        <v>2022</v>
      </c>
      <c r="C951" s="4" t="str">
        <f>TEXT(A951,"mmmm")</f>
        <v>May</v>
      </c>
      <c r="D951" s="4">
        <f>Raw_Data!A951</f>
        <v>44</v>
      </c>
      <c r="E951" s="4" t="str">
        <f>Raw_Data!B951</f>
        <v>d</v>
      </c>
      <c r="F951" s="4">
        <f>Raw_Data!C951</f>
        <v>374.5848029</v>
      </c>
    </row>
    <row r="952" spans="1:6" thickTop="1" thickBot="1" x14ac:dyDescent="0.35">
      <c r="A952" s="5">
        <f>Raw_Data!D952</f>
        <v>44749</v>
      </c>
      <c r="B952" s="4">
        <f>YEAR(A952)</f>
        <v>2022</v>
      </c>
      <c r="C952" s="4" t="str">
        <f>TEXT(A952,"mmmm")</f>
        <v>July</v>
      </c>
      <c r="D952" s="4">
        <f>Raw_Data!A952</f>
        <v>54</v>
      </c>
      <c r="E952" s="4" t="str">
        <f>Raw_Data!B952</f>
        <v>d</v>
      </c>
      <c r="F952" s="4">
        <f>Raw_Data!C952</f>
        <v>410.21292970000002</v>
      </c>
    </row>
    <row r="953" spans="1:6" thickTop="1" thickBot="1" x14ac:dyDescent="0.35">
      <c r="A953" s="5">
        <f>Raw_Data!D953</f>
        <v>44643</v>
      </c>
      <c r="B953" s="4">
        <f>YEAR(A953)</f>
        <v>2022</v>
      </c>
      <c r="C953" s="4" t="str">
        <f>TEXT(A953,"mmmm")</f>
        <v>March</v>
      </c>
      <c r="D953" s="4">
        <f>Raw_Data!A953</f>
        <v>85</v>
      </c>
      <c r="E953" s="4" t="str">
        <f>Raw_Data!B953</f>
        <v>e</v>
      </c>
      <c r="F953" s="4">
        <f>Raw_Data!C953</f>
        <v>654.49312669999995</v>
      </c>
    </row>
    <row r="954" spans="1:6" thickTop="1" thickBot="1" x14ac:dyDescent="0.35">
      <c r="A954" s="5">
        <f>Raw_Data!D954</f>
        <v>44703</v>
      </c>
      <c r="B954" s="4">
        <f>YEAR(A954)</f>
        <v>2022</v>
      </c>
      <c r="C954" s="4" t="str">
        <f>TEXT(A954,"mmmm")</f>
        <v>May</v>
      </c>
      <c r="D954" s="4">
        <f>Raw_Data!A954</f>
        <v>25</v>
      </c>
      <c r="E954" s="4" t="str">
        <f>Raw_Data!B954</f>
        <v>h</v>
      </c>
      <c r="F954" s="4">
        <f>Raw_Data!C954</f>
        <v>585.05222479999998</v>
      </c>
    </row>
    <row r="955" spans="1:6" thickTop="1" thickBot="1" x14ac:dyDescent="0.35">
      <c r="A955" s="5">
        <f>Raw_Data!D955</f>
        <v>44893</v>
      </c>
      <c r="B955" s="4">
        <f>YEAR(A955)</f>
        <v>2022</v>
      </c>
      <c r="C955" s="4" t="str">
        <f>TEXT(A955,"mmmm")</f>
        <v>November</v>
      </c>
      <c r="D955" s="4">
        <f>Raw_Data!A955</f>
        <v>29</v>
      </c>
      <c r="E955" s="4" t="str">
        <f>Raw_Data!B955</f>
        <v>i</v>
      </c>
      <c r="F955" s="4">
        <f>Raw_Data!C955</f>
        <v>377.27278089999999</v>
      </c>
    </row>
    <row r="956" spans="1:6" thickTop="1" thickBot="1" x14ac:dyDescent="0.35">
      <c r="A956" s="5">
        <f>Raw_Data!D956</f>
        <v>44867</v>
      </c>
      <c r="B956" s="4">
        <f>YEAR(A956)</f>
        <v>2022</v>
      </c>
      <c r="C956" s="4" t="str">
        <f>TEXT(A956,"mmmm")</f>
        <v>November</v>
      </c>
      <c r="D956" s="4">
        <f>Raw_Data!A956</f>
        <v>20</v>
      </c>
      <c r="E956" s="4" t="str">
        <f>Raw_Data!B956</f>
        <v>b</v>
      </c>
      <c r="F956" s="4">
        <f>Raw_Data!C956</f>
        <v>482.9505911</v>
      </c>
    </row>
    <row r="957" spans="1:6" thickTop="1" thickBot="1" x14ac:dyDescent="0.35">
      <c r="A957" s="5">
        <f>Raw_Data!D957</f>
        <v>44818</v>
      </c>
      <c r="B957" s="4">
        <f>YEAR(A957)</f>
        <v>2022</v>
      </c>
      <c r="C957" s="4" t="str">
        <f>TEXT(A957,"mmmm")</f>
        <v>September</v>
      </c>
      <c r="D957" s="4">
        <f>Raw_Data!A957</f>
        <v>93</v>
      </c>
      <c r="E957" s="4" t="str">
        <f>Raw_Data!B957</f>
        <v>h</v>
      </c>
      <c r="F957" s="4">
        <f>Raw_Data!C957</f>
        <v>586.4305435</v>
      </c>
    </row>
    <row r="958" spans="1:6" thickTop="1" thickBot="1" x14ac:dyDescent="0.35">
      <c r="A958" s="5">
        <f>Raw_Data!D958</f>
        <v>44680</v>
      </c>
      <c r="B958" s="4">
        <f>YEAR(A958)</f>
        <v>2022</v>
      </c>
      <c r="C958" s="4" t="str">
        <f>TEXT(A958,"mmmm")</f>
        <v>April</v>
      </c>
      <c r="D958" s="4">
        <f>Raw_Data!A958</f>
        <v>13</v>
      </c>
      <c r="E958" s="4" t="str">
        <f>Raw_Data!B958</f>
        <v>c</v>
      </c>
      <c r="F958" s="4">
        <f>Raw_Data!C958</f>
        <v>509.71252879999997</v>
      </c>
    </row>
    <row r="959" spans="1:6" thickTop="1" thickBot="1" x14ac:dyDescent="0.35">
      <c r="A959" s="5">
        <f>Raw_Data!D959</f>
        <v>44608</v>
      </c>
      <c r="B959" s="4">
        <f>YEAR(A959)</f>
        <v>2022</v>
      </c>
      <c r="C959" s="4" t="str">
        <f>TEXT(A959,"mmmm")</f>
        <v>February</v>
      </c>
      <c r="D959" s="4">
        <f>Raw_Data!A959</f>
        <v>77</v>
      </c>
      <c r="E959" s="4" t="str">
        <f>Raw_Data!B959</f>
        <v>c</v>
      </c>
      <c r="F959" s="4">
        <f>Raw_Data!C959</f>
        <v>356.86693730000002</v>
      </c>
    </row>
    <row r="960" spans="1:6" thickTop="1" thickBot="1" x14ac:dyDescent="0.35">
      <c r="A960" s="5">
        <f>Raw_Data!D960</f>
        <v>44666</v>
      </c>
      <c r="B960" s="4">
        <f>YEAR(A960)</f>
        <v>2022</v>
      </c>
      <c r="C960" s="4" t="str">
        <f>TEXT(A960,"mmmm")</f>
        <v>April</v>
      </c>
      <c r="D960" s="4">
        <f>Raw_Data!A960</f>
        <v>35</v>
      </c>
      <c r="E960" s="4" t="str">
        <f>Raw_Data!B960</f>
        <v>e</v>
      </c>
      <c r="F960" s="4">
        <f>Raw_Data!C960</f>
        <v>514.54599870000004</v>
      </c>
    </row>
    <row r="961" spans="1:6" thickTop="1" thickBot="1" x14ac:dyDescent="0.35">
      <c r="A961" s="5">
        <f>Raw_Data!D961</f>
        <v>44600</v>
      </c>
      <c r="B961" s="4">
        <f>YEAR(A961)</f>
        <v>2022</v>
      </c>
      <c r="C961" s="4" t="str">
        <f>TEXT(A961,"mmmm")</f>
        <v>February</v>
      </c>
      <c r="D961" s="4">
        <f>Raw_Data!A961</f>
        <v>55</v>
      </c>
      <c r="E961" s="4" t="str">
        <f>Raw_Data!B961</f>
        <v>h</v>
      </c>
      <c r="F961" s="4">
        <f>Raw_Data!C961</f>
        <v>436.6144362</v>
      </c>
    </row>
    <row r="962" spans="1:6" thickTop="1" thickBot="1" x14ac:dyDescent="0.35">
      <c r="A962" s="5">
        <f>Raw_Data!D962</f>
        <v>44866</v>
      </c>
      <c r="B962" s="4">
        <f>YEAR(A962)</f>
        <v>2022</v>
      </c>
      <c r="C962" s="4" t="str">
        <f>TEXT(A962,"mmmm")</f>
        <v>November</v>
      </c>
      <c r="D962" s="4">
        <f>Raw_Data!A962</f>
        <v>5</v>
      </c>
      <c r="E962" s="4" t="str">
        <f>Raw_Data!B962</f>
        <v>e</v>
      </c>
      <c r="F962" s="4">
        <f>Raw_Data!C962</f>
        <v>397.62784590000001</v>
      </c>
    </row>
    <row r="963" spans="1:6" thickTop="1" thickBot="1" x14ac:dyDescent="0.35">
      <c r="A963" s="5">
        <f>Raw_Data!D963</f>
        <v>44624</v>
      </c>
      <c r="B963" s="4">
        <f>YEAR(A963)</f>
        <v>2022</v>
      </c>
      <c r="C963" s="4" t="str">
        <f>TEXT(A963,"mmmm")</f>
        <v>March</v>
      </c>
      <c r="D963" s="4">
        <f>Raw_Data!A963</f>
        <v>56</v>
      </c>
      <c r="E963" s="4" t="str">
        <f>Raw_Data!B963</f>
        <v>g</v>
      </c>
      <c r="F963" s="4">
        <f>Raw_Data!C963</f>
        <v>343.29308730000002</v>
      </c>
    </row>
    <row r="964" spans="1:6" thickTop="1" thickBot="1" x14ac:dyDescent="0.35">
      <c r="A964" s="5">
        <f>Raw_Data!D964</f>
        <v>44688</v>
      </c>
      <c r="B964" s="4">
        <f>YEAR(A964)</f>
        <v>2022</v>
      </c>
      <c r="C964" s="4" t="str">
        <f>TEXT(A964,"mmmm")</f>
        <v>May</v>
      </c>
      <c r="D964" s="4">
        <f>Raw_Data!A964</f>
        <v>77</v>
      </c>
      <c r="E964" s="4" t="str">
        <f>Raw_Data!B964</f>
        <v>j</v>
      </c>
      <c r="F964" s="4">
        <f>Raw_Data!C964</f>
        <v>563.10629040000003</v>
      </c>
    </row>
    <row r="965" spans="1:6" thickTop="1" thickBot="1" x14ac:dyDescent="0.35">
      <c r="A965" s="5">
        <f>Raw_Data!D965</f>
        <v>44824</v>
      </c>
      <c r="B965" s="4">
        <f>YEAR(A965)</f>
        <v>2022</v>
      </c>
      <c r="C965" s="4" t="str">
        <f>TEXT(A965,"mmmm")</f>
        <v>September</v>
      </c>
      <c r="D965" s="4">
        <f>Raw_Data!A965</f>
        <v>87</v>
      </c>
      <c r="E965" s="4" t="str">
        <f>Raw_Data!B965</f>
        <v>i</v>
      </c>
      <c r="F965" s="4">
        <f>Raw_Data!C965</f>
        <v>553.94827199999997</v>
      </c>
    </row>
    <row r="966" spans="1:6" thickTop="1" thickBot="1" x14ac:dyDescent="0.35">
      <c r="A966" s="5">
        <f>Raw_Data!D966</f>
        <v>44612</v>
      </c>
      <c r="B966" s="4">
        <f>YEAR(A966)</f>
        <v>2022</v>
      </c>
      <c r="C966" s="4" t="str">
        <f>TEXT(A966,"mmmm")</f>
        <v>February</v>
      </c>
      <c r="D966" s="4">
        <f>Raw_Data!A966</f>
        <v>92</v>
      </c>
      <c r="E966" s="4" t="str">
        <f>Raw_Data!B966</f>
        <v>h</v>
      </c>
      <c r="F966" s="4">
        <f>Raw_Data!C966</f>
        <v>521.15169990000004</v>
      </c>
    </row>
    <row r="967" spans="1:6" thickTop="1" thickBot="1" x14ac:dyDescent="0.35">
      <c r="A967" s="5">
        <f>Raw_Data!D967</f>
        <v>44609</v>
      </c>
      <c r="B967" s="4">
        <f>YEAR(A967)</f>
        <v>2022</v>
      </c>
      <c r="C967" s="4" t="str">
        <f>TEXT(A967,"mmmm")</f>
        <v>February</v>
      </c>
      <c r="D967" s="4">
        <f>Raw_Data!A967</f>
        <v>44</v>
      </c>
      <c r="E967" s="4" t="str">
        <f>Raw_Data!B967</f>
        <v>j</v>
      </c>
      <c r="F967" s="4">
        <f>Raw_Data!C967</f>
        <v>408.47265709999999</v>
      </c>
    </row>
    <row r="968" spans="1:6" thickTop="1" thickBot="1" x14ac:dyDescent="0.35">
      <c r="A968" s="5">
        <f>Raw_Data!D968</f>
        <v>44850</v>
      </c>
      <c r="B968" s="4">
        <f>YEAR(A968)</f>
        <v>2022</v>
      </c>
      <c r="C968" s="4" t="str">
        <f>TEXT(A968,"mmmm")</f>
        <v>October</v>
      </c>
      <c r="D968" s="4">
        <f>Raw_Data!A968</f>
        <v>72</v>
      </c>
      <c r="E968" s="4" t="str">
        <f>Raw_Data!B968</f>
        <v>f</v>
      </c>
      <c r="F968" s="4">
        <f>Raw_Data!C968</f>
        <v>526.32939209999995</v>
      </c>
    </row>
    <row r="969" spans="1:6" thickTop="1" thickBot="1" x14ac:dyDescent="0.35">
      <c r="A969" s="5">
        <f>Raw_Data!D969</f>
        <v>44867</v>
      </c>
      <c r="B969" s="4">
        <f>YEAR(A969)</f>
        <v>2022</v>
      </c>
      <c r="C969" s="4" t="str">
        <f>TEXT(A969,"mmmm")</f>
        <v>November</v>
      </c>
      <c r="D969" s="4">
        <f>Raw_Data!A969</f>
        <v>38</v>
      </c>
      <c r="E969" s="4" t="str">
        <f>Raw_Data!B969</f>
        <v>f</v>
      </c>
      <c r="F969" s="4">
        <f>Raw_Data!C969</f>
        <v>534.80226760000005</v>
      </c>
    </row>
    <row r="970" spans="1:6" thickTop="1" thickBot="1" x14ac:dyDescent="0.35">
      <c r="A970" s="5">
        <f>Raw_Data!D970</f>
        <v>44643</v>
      </c>
      <c r="B970" s="4">
        <f>YEAR(A970)</f>
        <v>2022</v>
      </c>
      <c r="C970" s="4" t="str">
        <f>TEXT(A970,"mmmm")</f>
        <v>March</v>
      </c>
      <c r="D970" s="4">
        <f>Raw_Data!A970</f>
        <v>24</v>
      </c>
      <c r="E970" s="4" t="str">
        <f>Raw_Data!B970</f>
        <v>d</v>
      </c>
      <c r="F970" s="4">
        <f>Raw_Data!C970</f>
        <v>506.48034769999998</v>
      </c>
    </row>
    <row r="971" spans="1:6" thickTop="1" thickBot="1" x14ac:dyDescent="0.35">
      <c r="A971" s="5">
        <f>Raw_Data!D971</f>
        <v>44887</v>
      </c>
      <c r="B971" s="4">
        <f>YEAR(A971)</f>
        <v>2022</v>
      </c>
      <c r="C971" s="4" t="str">
        <f>TEXT(A971,"mmmm")</f>
        <v>November</v>
      </c>
      <c r="D971" s="4">
        <f>Raw_Data!A971</f>
        <v>80</v>
      </c>
      <c r="E971" s="4" t="str">
        <f>Raw_Data!B971</f>
        <v>i</v>
      </c>
      <c r="F971" s="4">
        <f>Raw_Data!C971</f>
        <v>565.27591199999995</v>
      </c>
    </row>
    <row r="972" spans="1:6" thickTop="1" thickBot="1" x14ac:dyDescent="0.35">
      <c r="A972" s="5">
        <f>Raw_Data!D972</f>
        <v>44662</v>
      </c>
      <c r="B972" s="4">
        <f>YEAR(A972)</f>
        <v>2022</v>
      </c>
      <c r="C972" s="4" t="str">
        <f>TEXT(A972,"mmmm")</f>
        <v>April</v>
      </c>
      <c r="D972" s="4">
        <f>Raw_Data!A972</f>
        <v>75</v>
      </c>
      <c r="E972" s="4" t="str">
        <f>Raw_Data!B972</f>
        <v>i</v>
      </c>
      <c r="F972" s="4">
        <f>Raw_Data!C972</f>
        <v>390.30739720000003</v>
      </c>
    </row>
    <row r="973" spans="1:6" thickTop="1" thickBot="1" x14ac:dyDescent="0.35">
      <c r="A973" s="5">
        <f>Raw_Data!D973</f>
        <v>44680</v>
      </c>
      <c r="B973" s="4">
        <f>YEAR(A973)</f>
        <v>2022</v>
      </c>
      <c r="C973" s="4" t="str">
        <f>TEXT(A973,"mmmm")</f>
        <v>April</v>
      </c>
      <c r="D973" s="4">
        <f>Raw_Data!A973</f>
        <v>87</v>
      </c>
      <c r="E973" s="4" t="str">
        <f>Raw_Data!B973</f>
        <v>e</v>
      </c>
      <c r="F973" s="4">
        <f>Raw_Data!C973</f>
        <v>381.62888270000002</v>
      </c>
    </row>
    <row r="974" spans="1:6" thickTop="1" thickBot="1" x14ac:dyDescent="0.35">
      <c r="A974" s="5">
        <f>Raw_Data!D974</f>
        <v>44680</v>
      </c>
      <c r="B974" s="4">
        <f>YEAR(A974)</f>
        <v>2022</v>
      </c>
      <c r="C974" s="4" t="str">
        <f>TEXT(A974,"mmmm")</f>
        <v>April</v>
      </c>
      <c r="D974" s="4">
        <f>Raw_Data!A974</f>
        <v>94</v>
      </c>
      <c r="E974" s="4" t="str">
        <f>Raw_Data!B974</f>
        <v>a</v>
      </c>
      <c r="F974" s="4">
        <f>Raw_Data!C974</f>
        <v>538.7421779</v>
      </c>
    </row>
    <row r="975" spans="1:6" thickTop="1" thickBot="1" x14ac:dyDescent="0.35">
      <c r="A975" s="5">
        <f>Raw_Data!D975</f>
        <v>44710</v>
      </c>
      <c r="B975" s="4">
        <f>YEAR(A975)</f>
        <v>2022</v>
      </c>
      <c r="C975" s="4" t="str">
        <f>TEXT(A975,"mmmm")</f>
        <v>May</v>
      </c>
      <c r="D975" s="4">
        <f>Raw_Data!A975</f>
        <v>96</v>
      </c>
      <c r="E975" s="4" t="str">
        <f>Raw_Data!B975</f>
        <v>i</v>
      </c>
      <c r="F975" s="4">
        <f>Raw_Data!C975</f>
        <v>486.7261522</v>
      </c>
    </row>
    <row r="976" spans="1:6" thickTop="1" thickBot="1" x14ac:dyDescent="0.35">
      <c r="A976" s="5">
        <f>Raw_Data!D976</f>
        <v>44899</v>
      </c>
      <c r="B976" s="4">
        <f>YEAR(A976)</f>
        <v>2022</v>
      </c>
      <c r="C976" s="4" t="str">
        <f>TEXT(A976,"mmmm")</f>
        <v>December</v>
      </c>
      <c r="D976" s="4">
        <f>Raw_Data!A976</f>
        <v>91</v>
      </c>
      <c r="E976" s="4" t="str">
        <f>Raw_Data!B976</f>
        <v>j</v>
      </c>
      <c r="F976" s="4">
        <f>Raw_Data!C976</f>
        <v>599.66080529999999</v>
      </c>
    </row>
    <row r="977" spans="1:6" thickTop="1" thickBot="1" x14ac:dyDescent="0.35">
      <c r="A977" s="5">
        <f>Raw_Data!D977</f>
        <v>44774</v>
      </c>
      <c r="B977" s="4">
        <f>YEAR(A977)</f>
        <v>2022</v>
      </c>
      <c r="C977" s="4" t="str">
        <f>TEXT(A977,"mmmm")</f>
        <v>August</v>
      </c>
      <c r="D977" s="4">
        <f>Raw_Data!A977</f>
        <v>48</v>
      </c>
      <c r="E977" s="4" t="str">
        <f>Raw_Data!B977</f>
        <v>h</v>
      </c>
      <c r="F977" s="4">
        <f>Raw_Data!C977</f>
        <v>293.48576430000003</v>
      </c>
    </row>
    <row r="978" spans="1:6" thickTop="1" thickBot="1" x14ac:dyDescent="0.35">
      <c r="A978" s="5">
        <f>Raw_Data!D978</f>
        <v>44685</v>
      </c>
      <c r="B978" s="4">
        <f>YEAR(A978)</f>
        <v>2022</v>
      </c>
      <c r="C978" s="4" t="str">
        <f>TEXT(A978,"mmmm")</f>
        <v>May</v>
      </c>
      <c r="D978" s="4">
        <f>Raw_Data!A978</f>
        <v>15</v>
      </c>
      <c r="E978" s="4" t="str">
        <f>Raw_Data!B978</f>
        <v>e</v>
      </c>
      <c r="F978" s="4">
        <f>Raw_Data!C978</f>
        <v>582.87838409999995</v>
      </c>
    </row>
    <row r="979" spans="1:6" thickTop="1" thickBot="1" x14ac:dyDescent="0.35">
      <c r="A979" s="5">
        <f>Raw_Data!D979</f>
        <v>44621</v>
      </c>
      <c r="B979" s="4">
        <f>YEAR(A979)</f>
        <v>2022</v>
      </c>
      <c r="C979" s="4" t="str">
        <f>TEXT(A979,"mmmm")</f>
        <v>March</v>
      </c>
      <c r="D979" s="4">
        <f>Raw_Data!A979</f>
        <v>65</v>
      </c>
      <c r="E979" s="4" t="str">
        <f>Raw_Data!B979</f>
        <v>i</v>
      </c>
      <c r="F979" s="4">
        <f>Raw_Data!C979</f>
        <v>431.47721619999999</v>
      </c>
    </row>
    <row r="980" spans="1:6" thickTop="1" thickBot="1" x14ac:dyDescent="0.35">
      <c r="A980" s="5">
        <f>Raw_Data!D980</f>
        <v>44607</v>
      </c>
      <c r="B980" s="4">
        <f>YEAR(A980)</f>
        <v>2022</v>
      </c>
      <c r="C980" s="4" t="str">
        <f>TEXT(A980,"mmmm")</f>
        <v>February</v>
      </c>
      <c r="D980" s="4">
        <f>Raw_Data!A980</f>
        <v>54</v>
      </c>
      <c r="E980" s="4" t="str">
        <f>Raw_Data!B980</f>
        <v>g</v>
      </c>
      <c r="F980" s="4">
        <f>Raw_Data!C980</f>
        <v>445.29621320000001</v>
      </c>
    </row>
    <row r="981" spans="1:6" thickTop="1" thickBot="1" x14ac:dyDescent="0.35">
      <c r="A981" s="5">
        <f>Raw_Data!D981</f>
        <v>44746</v>
      </c>
      <c r="B981" s="4">
        <f>YEAR(A981)</f>
        <v>2022</v>
      </c>
      <c r="C981" s="4" t="str">
        <f>TEXT(A981,"mmmm")</f>
        <v>July</v>
      </c>
      <c r="D981" s="4">
        <f>Raw_Data!A981</f>
        <v>10</v>
      </c>
      <c r="E981" s="4" t="str">
        <f>Raw_Data!B981</f>
        <v>j</v>
      </c>
      <c r="F981" s="4">
        <f>Raw_Data!C981</f>
        <v>552.1799393</v>
      </c>
    </row>
    <row r="982" spans="1:6" thickTop="1" thickBot="1" x14ac:dyDescent="0.35">
      <c r="A982" s="5">
        <f>Raw_Data!D982</f>
        <v>44639</v>
      </c>
      <c r="B982" s="4">
        <f>YEAR(A982)</f>
        <v>2022</v>
      </c>
      <c r="C982" s="4" t="str">
        <f>TEXT(A982,"mmmm")</f>
        <v>March</v>
      </c>
      <c r="D982" s="4">
        <f>Raw_Data!A982</f>
        <v>86</v>
      </c>
      <c r="E982" s="4" t="str">
        <f>Raw_Data!B982</f>
        <v>i</v>
      </c>
      <c r="F982" s="4">
        <f>Raw_Data!C982</f>
        <v>279.22810479999998</v>
      </c>
    </row>
    <row r="983" spans="1:6" thickTop="1" thickBot="1" x14ac:dyDescent="0.35">
      <c r="A983" s="5">
        <f>Raw_Data!D983</f>
        <v>44620</v>
      </c>
      <c r="B983" s="4">
        <f>YEAR(A983)</f>
        <v>2022</v>
      </c>
      <c r="C983" s="4" t="str">
        <f>TEXT(A983,"mmmm")</f>
        <v>February</v>
      </c>
      <c r="D983" s="4">
        <f>Raw_Data!A983</f>
        <v>42</v>
      </c>
      <c r="E983" s="4" t="str">
        <f>Raw_Data!B983</f>
        <v>e</v>
      </c>
      <c r="F983" s="4">
        <f>Raw_Data!C983</f>
        <v>488.41026040000003</v>
      </c>
    </row>
    <row r="984" spans="1:6" thickTop="1" thickBot="1" x14ac:dyDescent="0.35">
      <c r="A984" s="5">
        <f>Raw_Data!D984</f>
        <v>44875</v>
      </c>
      <c r="B984" s="4">
        <f>YEAR(A984)</f>
        <v>2022</v>
      </c>
      <c r="C984" s="4" t="str">
        <f>TEXT(A984,"mmmm")</f>
        <v>November</v>
      </c>
      <c r="D984" s="4">
        <f>Raw_Data!A984</f>
        <v>100</v>
      </c>
      <c r="E984" s="4" t="str">
        <f>Raw_Data!B984</f>
        <v>j</v>
      </c>
      <c r="F984" s="4">
        <f>Raw_Data!C984</f>
        <v>434.80021210000001</v>
      </c>
    </row>
    <row r="985" spans="1:6" thickTop="1" thickBot="1" x14ac:dyDescent="0.35">
      <c r="A985" s="5">
        <f>Raw_Data!D985</f>
        <v>44709</v>
      </c>
      <c r="B985" s="4">
        <f>YEAR(A985)</f>
        <v>2022</v>
      </c>
      <c r="C985" s="4" t="str">
        <f>TEXT(A985,"mmmm")</f>
        <v>May</v>
      </c>
      <c r="D985" s="4">
        <f>Raw_Data!A985</f>
        <v>41</v>
      </c>
      <c r="E985" s="4" t="str">
        <f>Raw_Data!B985</f>
        <v>h</v>
      </c>
      <c r="F985" s="4">
        <f>Raw_Data!C985</f>
        <v>479.03698730000002</v>
      </c>
    </row>
    <row r="986" spans="1:6" thickTop="1" thickBot="1" x14ac:dyDescent="0.35">
      <c r="A986" s="5">
        <f>Raw_Data!D986</f>
        <v>44651</v>
      </c>
      <c r="B986" s="4">
        <f>YEAR(A986)</f>
        <v>2022</v>
      </c>
      <c r="C986" s="4" t="str">
        <f>TEXT(A986,"mmmm")</f>
        <v>March</v>
      </c>
      <c r="D986" s="4">
        <f>Raw_Data!A986</f>
        <v>25</v>
      </c>
      <c r="E986" s="4" t="str">
        <f>Raw_Data!B986</f>
        <v>g</v>
      </c>
      <c r="F986" s="4">
        <f>Raw_Data!C986</f>
        <v>505.69093420000002</v>
      </c>
    </row>
    <row r="987" spans="1:6" thickTop="1" thickBot="1" x14ac:dyDescent="0.35">
      <c r="A987" s="5">
        <f>Raw_Data!D987</f>
        <v>44579</v>
      </c>
      <c r="B987" s="4">
        <f>YEAR(A987)</f>
        <v>2022</v>
      </c>
      <c r="C987" s="4" t="str">
        <f>TEXT(A987,"mmmm")</f>
        <v>January</v>
      </c>
      <c r="D987" s="4">
        <f>Raw_Data!A987</f>
        <v>94</v>
      </c>
      <c r="E987" s="4" t="str">
        <f>Raw_Data!B987</f>
        <v>c</v>
      </c>
      <c r="F987" s="4">
        <f>Raw_Data!C987</f>
        <v>504.17070580000001</v>
      </c>
    </row>
    <row r="988" spans="1:6" thickTop="1" thickBot="1" x14ac:dyDescent="0.35">
      <c r="A988" s="5">
        <f>Raw_Data!D988</f>
        <v>44791</v>
      </c>
      <c r="B988" s="4">
        <f>YEAR(A988)</f>
        <v>2022</v>
      </c>
      <c r="C988" s="4" t="str">
        <f>TEXT(A988,"mmmm")</f>
        <v>August</v>
      </c>
      <c r="D988" s="4">
        <f>Raw_Data!A988</f>
        <v>52</v>
      </c>
      <c r="E988" s="4" t="str">
        <f>Raw_Data!B988</f>
        <v>i</v>
      </c>
      <c r="F988" s="4">
        <f>Raw_Data!C988</f>
        <v>446.18633549999998</v>
      </c>
    </row>
    <row r="989" spans="1:6" thickTop="1" thickBot="1" x14ac:dyDescent="0.35">
      <c r="A989" s="5">
        <f>Raw_Data!D989</f>
        <v>44804</v>
      </c>
      <c r="B989" s="4">
        <f>YEAR(A989)</f>
        <v>2022</v>
      </c>
      <c r="C989" s="4" t="str">
        <f>TEXT(A989,"mmmm")</f>
        <v>August</v>
      </c>
      <c r="D989" s="4">
        <f>Raw_Data!A989</f>
        <v>37</v>
      </c>
      <c r="E989" s="4" t="str">
        <f>Raw_Data!B989</f>
        <v>i</v>
      </c>
      <c r="F989" s="4">
        <f>Raw_Data!C989</f>
        <v>338.52050750000001</v>
      </c>
    </row>
    <row r="990" spans="1:6" thickTop="1" thickBot="1" x14ac:dyDescent="0.35">
      <c r="A990" s="5">
        <f>Raw_Data!D990</f>
        <v>44861</v>
      </c>
      <c r="B990" s="4">
        <f>YEAR(A990)</f>
        <v>2022</v>
      </c>
      <c r="C990" s="4" t="str">
        <f>TEXT(A990,"mmmm")</f>
        <v>October</v>
      </c>
      <c r="D990" s="4">
        <f>Raw_Data!A990</f>
        <v>27</v>
      </c>
      <c r="E990" s="4" t="str">
        <f>Raw_Data!B990</f>
        <v>e</v>
      </c>
      <c r="F990" s="4">
        <f>Raw_Data!C990</f>
        <v>672.96690430000001</v>
      </c>
    </row>
    <row r="991" spans="1:6" thickTop="1" thickBot="1" x14ac:dyDescent="0.35">
      <c r="A991" s="5">
        <f>Raw_Data!D991</f>
        <v>44839</v>
      </c>
      <c r="B991" s="4">
        <f>YEAR(A991)</f>
        <v>2022</v>
      </c>
      <c r="C991" s="4" t="str">
        <f>TEXT(A991,"mmmm")</f>
        <v>October</v>
      </c>
      <c r="D991" s="4">
        <f>Raw_Data!A991</f>
        <v>73</v>
      </c>
      <c r="E991" s="4" t="str">
        <f>Raw_Data!B991</f>
        <v>b</v>
      </c>
      <c r="F991" s="4">
        <f>Raw_Data!C991</f>
        <v>445.2181453</v>
      </c>
    </row>
    <row r="992" spans="1:6" thickTop="1" thickBot="1" x14ac:dyDescent="0.35">
      <c r="A992" s="5">
        <f>Raw_Data!D992</f>
        <v>44880</v>
      </c>
      <c r="B992" s="4">
        <f>YEAR(A992)</f>
        <v>2022</v>
      </c>
      <c r="C992" s="4" t="str">
        <f>TEXT(A992,"mmmm")</f>
        <v>November</v>
      </c>
      <c r="D992" s="4">
        <f>Raw_Data!A992</f>
        <v>83</v>
      </c>
      <c r="E992" s="4" t="str">
        <f>Raw_Data!B992</f>
        <v>d</v>
      </c>
      <c r="F992" s="4">
        <f>Raw_Data!C992</f>
        <v>449.78093669999998</v>
      </c>
    </row>
    <row r="993" spans="1:6" thickTop="1" thickBot="1" x14ac:dyDescent="0.35">
      <c r="A993" s="5">
        <f>Raw_Data!D993</f>
        <v>44626</v>
      </c>
      <c r="B993" s="4">
        <f>YEAR(A993)</f>
        <v>2022</v>
      </c>
      <c r="C993" s="4" t="str">
        <f>TEXT(A993,"mmmm")</f>
        <v>March</v>
      </c>
      <c r="D993" s="4">
        <f>Raw_Data!A993</f>
        <v>35</v>
      </c>
      <c r="E993" s="4" t="str">
        <f>Raw_Data!B993</f>
        <v>d</v>
      </c>
      <c r="F993" s="4">
        <f>Raw_Data!C993</f>
        <v>529.13644939999995</v>
      </c>
    </row>
    <row r="994" spans="1:6" thickTop="1" thickBot="1" x14ac:dyDescent="0.35">
      <c r="A994" s="5">
        <f>Raw_Data!D994</f>
        <v>44626</v>
      </c>
      <c r="B994" s="4">
        <f>YEAR(A994)</f>
        <v>2022</v>
      </c>
      <c r="C994" s="4" t="str">
        <f>TEXT(A994,"mmmm")</f>
        <v>March</v>
      </c>
      <c r="D994" s="4">
        <f>Raw_Data!A994</f>
        <v>34</v>
      </c>
      <c r="E994" s="4" t="str">
        <f>Raw_Data!B994</f>
        <v>h</v>
      </c>
      <c r="F994" s="4">
        <f>Raw_Data!C994</f>
        <v>376.31756180000002</v>
      </c>
    </row>
    <row r="995" spans="1:6" thickTop="1" thickBot="1" x14ac:dyDescent="0.35">
      <c r="A995" s="5">
        <f>Raw_Data!D995</f>
        <v>44821</v>
      </c>
      <c r="B995" s="4">
        <f>YEAR(A995)</f>
        <v>2022</v>
      </c>
      <c r="C995" s="4" t="str">
        <f>TEXT(A995,"mmmm")</f>
        <v>September</v>
      </c>
      <c r="D995" s="4">
        <f>Raw_Data!A995</f>
        <v>63</v>
      </c>
      <c r="E995" s="4" t="str">
        <f>Raw_Data!B995</f>
        <v>h</v>
      </c>
      <c r="F995" s="4">
        <f>Raw_Data!C995</f>
        <v>333.11037040000002</v>
      </c>
    </row>
    <row r="996" spans="1:6" thickTop="1" thickBot="1" x14ac:dyDescent="0.35">
      <c r="A996" s="5">
        <f>Raw_Data!D996</f>
        <v>44828</v>
      </c>
      <c r="B996" s="4">
        <f>YEAR(A996)</f>
        <v>2022</v>
      </c>
      <c r="C996" s="4" t="str">
        <f>TEXT(A996,"mmmm")</f>
        <v>September</v>
      </c>
      <c r="D996" s="4">
        <f>Raw_Data!A996</f>
        <v>87</v>
      </c>
      <c r="E996" s="4" t="str">
        <f>Raw_Data!B996</f>
        <v>a</v>
      </c>
      <c r="F996" s="4">
        <f>Raw_Data!C996</f>
        <v>669.11241900000005</v>
      </c>
    </row>
    <row r="997" spans="1:6" thickTop="1" thickBot="1" x14ac:dyDescent="0.35">
      <c r="A997" s="5">
        <f>Raw_Data!D997</f>
        <v>44875</v>
      </c>
      <c r="B997" s="4">
        <f>YEAR(A997)</f>
        <v>2022</v>
      </c>
      <c r="C997" s="4" t="str">
        <f>TEXT(A997,"mmmm")</f>
        <v>November</v>
      </c>
      <c r="D997" s="4">
        <f>Raw_Data!A997</f>
        <v>76</v>
      </c>
      <c r="E997" s="4" t="str">
        <f>Raw_Data!B997</f>
        <v>e</v>
      </c>
      <c r="F997" s="4">
        <f>Raw_Data!C997</f>
        <v>634.29923140000005</v>
      </c>
    </row>
    <row r="998" spans="1:6" thickTop="1" thickBot="1" x14ac:dyDescent="0.35">
      <c r="A998" s="5">
        <f>Raw_Data!D998</f>
        <v>44830</v>
      </c>
      <c r="B998" s="4">
        <f>YEAR(A998)</f>
        <v>2022</v>
      </c>
      <c r="C998" s="4" t="str">
        <f>TEXT(A998,"mmmm")</f>
        <v>September</v>
      </c>
      <c r="D998" s="4">
        <f>Raw_Data!A998</f>
        <v>79</v>
      </c>
      <c r="E998" s="4" t="str">
        <f>Raw_Data!B998</f>
        <v>b</v>
      </c>
      <c r="F998" s="4">
        <f>Raw_Data!C998</f>
        <v>466.60954959999998</v>
      </c>
    </row>
    <row r="999" spans="1:6" thickTop="1" thickBot="1" x14ac:dyDescent="0.35">
      <c r="A999" s="5">
        <f>Raw_Data!D999</f>
        <v>44595</v>
      </c>
      <c r="B999" s="4">
        <f>YEAR(A999)</f>
        <v>2022</v>
      </c>
      <c r="C999" s="4" t="str">
        <f>TEXT(A999,"mmmm")</f>
        <v>February</v>
      </c>
      <c r="D999" s="4">
        <f>Raw_Data!A999</f>
        <v>49</v>
      </c>
      <c r="E999" s="4" t="str">
        <f>Raw_Data!B999</f>
        <v>i</v>
      </c>
      <c r="F999" s="4">
        <f>Raw_Data!C999</f>
        <v>656.1333922</v>
      </c>
    </row>
    <row r="1000" spans="1:6" thickTop="1" thickBot="1" x14ac:dyDescent="0.35">
      <c r="A1000" s="5">
        <f>Raw_Data!D1000</f>
        <v>44737</v>
      </c>
      <c r="B1000" s="4">
        <f>YEAR(A1000)</f>
        <v>2022</v>
      </c>
      <c r="C1000" s="4" t="str">
        <f>TEXT(A1000,"mmmm")</f>
        <v>June</v>
      </c>
      <c r="D1000" s="4">
        <f>Raw_Data!A1000</f>
        <v>35</v>
      </c>
      <c r="E1000" s="4" t="str">
        <f>Raw_Data!B1000</f>
        <v>a</v>
      </c>
      <c r="F1000" s="4">
        <f>Raw_Data!C1000</f>
        <v>479.0334178</v>
      </c>
    </row>
    <row r="1001" spans="1:6" thickTop="1" thickBot="1" x14ac:dyDescent="0.35">
      <c r="A1001" s="5">
        <f>Raw_Data!D1001</f>
        <v>44592</v>
      </c>
      <c r="B1001" s="4">
        <f>YEAR(A1001)</f>
        <v>2022</v>
      </c>
      <c r="C1001" s="4" t="str">
        <f>TEXT(A1001,"mmmm")</f>
        <v>January</v>
      </c>
      <c r="D1001" s="4">
        <f>Raw_Data!A1001</f>
        <v>29</v>
      </c>
      <c r="E1001" s="4" t="str">
        <f>Raw_Data!B1001</f>
        <v>j</v>
      </c>
      <c r="F1001" s="4">
        <f>Raw_Data!C1001</f>
        <v>566.53467160000002</v>
      </c>
    </row>
    <row r="1002" spans="1:6" thickTop="1" thickBot="1" x14ac:dyDescent="0.35">
      <c r="A1002" s="5"/>
    </row>
    <row r="1003" spans="1:6" thickTop="1" thickBot="1" x14ac:dyDescent="0.35">
      <c r="A1003" s="5"/>
    </row>
    <row r="1004" spans="1:6" thickTop="1" thickBot="1" x14ac:dyDescent="0.35">
      <c r="A1004" s="5"/>
    </row>
    <row r="1005" spans="1:6" thickTop="1" thickBot="1" x14ac:dyDescent="0.35">
      <c r="A1005" s="5"/>
    </row>
    <row r="1006" spans="1:6" thickTop="1" thickBot="1" x14ac:dyDescent="0.35">
      <c r="A1006" s="5"/>
    </row>
    <row r="1007" spans="1:6" thickTop="1" thickBot="1" x14ac:dyDescent="0.35">
      <c r="A1007" s="5"/>
    </row>
    <row r="1008" spans="1:6" thickTop="1" thickBot="1" x14ac:dyDescent="0.35">
      <c r="A1008" s="5"/>
    </row>
    <row r="1009" spans="1:1" thickTop="1" thickBot="1" x14ac:dyDescent="0.35">
      <c r="A1009" s="5"/>
    </row>
    <row r="1010" spans="1:1" thickTop="1" thickBot="1" x14ac:dyDescent="0.35">
      <c r="A1010" s="5"/>
    </row>
    <row r="1048576" spans="1:6" ht="18" thickTop="1" x14ac:dyDescent="0.3">
      <c r="A1048576" s="7"/>
      <c r="B1048576" s="7"/>
      <c r="C1048576" s="7"/>
      <c r="D1048576" s="7"/>
      <c r="E1048576" s="7"/>
      <c r="F1048576" s="7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E31F-107E-441A-B94B-4FBE020CFE87}">
  <dimension ref="A1:B5"/>
  <sheetViews>
    <sheetView tabSelected="1" workbookViewId="0">
      <selection activeCell="G18" sqref="G18"/>
    </sheetView>
  </sheetViews>
  <sheetFormatPr defaultRowHeight="15" x14ac:dyDescent="0.25"/>
  <cols>
    <col min="1" max="1" width="25.5703125" bestFit="1" customWidth="1"/>
    <col min="2" max="2" width="12.710937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20</v>
      </c>
      <c r="B2">
        <v>500000</v>
      </c>
    </row>
    <row r="3" spans="1:2" x14ac:dyDescent="0.25">
      <c r="A3" t="s">
        <v>21</v>
      </c>
      <c r="B3">
        <v>40000</v>
      </c>
    </row>
    <row r="4" spans="1:2" x14ac:dyDescent="0.25">
      <c r="A4" t="s">
        <v>22</v>
      </c>
      <c r="B4">
        <v>500</v>
      </c>
    </row>
    <row r="5" spans="1:2" x14ac:dyDescent="0.25">
      <c r="A5" t="s">
        <v>23</v>
      </c>
      <c r="B5"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F0D2-2779-472E-A9D3-C992384F3B92}">
  <dimension ref="A1:F4"/>
  <sheetViews>
    <sheetView workbookViewId="0">
      <selection activeCell="D28" sqref="D28"/>
    </sheetView>
  </sheetViews>
  <sheetFormatPr defaultRowHeight="15" x14ac:dyDescent="0.25"/>
  <cols>
    <col min="1" max="1" width="22.85546875" bestFit="1" customWidth="1"/>
    <col min="2" max="2" width="12" bestFit="1" customWidth="1"/>
    <col min="3" max="3" width="7" bestFit="1" customWidth="1"/>
    <col min="4" max="4" width="12.7109375" bestFit="1" customWidth="1"/>
    <col min="5" max="5" width="12" bestFit="1" customWidth="1"/>
    <col min="6" max="6" width="8.42578125" bestFit="1" customWidth="1"/>
  </cols>
  <sheetData>
    <row r="1" spans="1:6" x14ac:dyDescent="0.25">
      <c r="A1" t="s">
        <v>24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s="2" t="s">
        <v>20</v>
      </c>
      <c r="B2" s="2">
        <f>SUM(Cleaned_Data!F:F)</f>
        <v>496815.36524590023</v>
      </c>
      <c r="C2" s="2">
        <f>VLOOKUP(A2,Targets!A:B,2,FALSE)</f>
        <v>500000</v>
      </c>
      <c r="D2" s="2">
        <f>B2-C2</f>
        <v>-3184.6347540997667</v>
      </c>
      <c r="E2" s="2">
        <f>D2/C2</f>
        <v>-6.3692695081995331E-3</v>
      </c>
      <c r="F2" s="2" t="str">
        <f>IF(E2&gt;=0,"Good",IF(E2&gt;=-0.1,"Warning","Critical"))</f>
        <v>Warning</v>
      </c>
    </row>
    <row r="3" spans="1:6" x14ac:dyDescent="0.25">
      <c r="A3" s="3" t="s">
        <v>31</v>
      </c>
      <c r="B3" s="3">
        <f>AVERAGE(Cleaned_Data!F:F)</f>
        <v>496.81536524590024</v>
      </c>
      <c r="C3" s="3">
        <f>IFERROR(your_target_formula,500)</f>
        <v>500</v>
      </c>
      <c r="D3" s="3">
        <f ca="1">IFERROR(B4-C4,"")</f>
        <v>456815.36524590023</v>
      </c>
      <c r="E3" s="3">
        <f ca="1">IFERROR((B4-C4)/C4,"")</f>
        <v>11.420384131147506</v>
      </c>
      <c r="F3" s="3" t="str">
        <f ca="1">IF(E3&gt;=0,"Good",IF(E3&gt;=-0.1,"Warning","Critical"))</f>
        <v>Good</v>
      </c>
    </row>
    <row r="4" spans="1:6" x14ac:dyDescent="0.25">
      <c r="A4" s="3" t="s">
        <v>32</v>
      </c>
      <c r="B4" s="3">
        <f ca="1">SUM(Cleaned_Data!F:F) / COUNTA(UNIQUE(Cleaned_Data!C:C))</f>
        <v>496815.36524590023</v>
      </c>
      <c r="C4" s="3">
        <f>VLOOKUP("Monthly Sales",Targets!A:B,2,FALSE)</f>
        <v>40000</v>
      </c>
      <c r="D4" s="3">
        <f>IFERROR(B5-C5,"")</f>
        <v>0</v>
      </c>
      <c r="E4" s="3">
        <f>D4/C4</f>
        <v>0</v>
      </c>
      <c r="F4" s="3" t="str">
        <f>IF(E4&gt;=0,"Good",IF(E4&gt;=-0.1,"Warning","Critical"))</f>
        <v>Good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DC96-D2A1-4D22-A1CA-09E9DACED8CF}">
  <dimension ref="A1:B5"/>
  <sheetViews>
    <sheetView workbookViewId="0">
      <selection activeCell="N9" sqref="N9"/>
    </sheetView>
  </sheetViews>
  <sheetFormatPr defaultRowHeight="15" x14ac:dyDescent="0.25"/>
  <cols>
    <col min="1" max="1" width="26" bestFit="1" customWidth="1"/>
    <col min="2" max="2" width="60.5703125" customWidth="1"/>
  </cols>
  <sheetData>
    <row r="1" spans="1:2" x14ac:dyDescent="0.25">
      <c r="A1" t="s">
        <v>33</v>
      </c>
      <c r="B1" t="s">
        <v>34</v>
      </c>
    </row>
    <row r="2" spans="1:2" x14ac:dyDescent="0.25">
      <c r="A2" t="s">
        <v>35</v>
      </c>
      <c r="B2" t="str">
        <f ca="1">INDEX(
 KPI_Calculations!A:A,
 MATCH(
  MIN(KPI_Calculations!E:E),
  KPI_Calculations!E:E,
  0
 )
)</f>
        <v>Total Sales</v>
      </c>
    </row>
    <row r="3" spans="1:2" x14ac:dyDescent="0.25">
      <c r="A3" t="s">
        <v>36</v>
      </c>
      <c r="B3" t="str">
        <f ca="1">INDEX(
 KPI_Calculations!A:A,
 MATCH(
  MAX(KPI_Calculations!E:E),
  KPI_Calculations!E:E,
  0
 )
)</f>
        <v>Avg Sale per Transaction</v>
      </c>
    </row>
    <row r="4" spans="1:2" x14ac:dyDescent="0.25">
      <c r="A4" t="s">
        <v>37</v>
      </c>
      <c r="B4" t="str">
        <f ca="1">IF(
 COUNTIF(KPI_Calculations!F:F,"Critical")&gt;0,
 "One or more KPIs in Critical status",
 "No critical risk identified"
)</f>
        <v>No critical risk identified</v>
      </c>
    </row>
    <row r="5" spans="1:2" x14ac:dyDescent="0.25">
      <c r="A5" t="s">
        <v>38</v>
      </c>
      <c r="B5" t="str">
        <f ca="1">IF(
 COUNTIF(KPI_Calculations!F:F,"Critical")&gt;0,
 "Yes – investigate underperforming KPIs",
 "No immediate action required"
)</f>
        <v>No immediate action required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Targets</vt:lpstr>
      <vt:lpstr>KPI_Calculations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Ranjan</dc:creator>
  <cp:lastModifiedBy>Sparsh Ranjan</cp:lastModifiedBy>
  <dcterms:created xsi:type="dcterms:W3CDTF">2015-06-05T18:17:20Z</dcterms:created>
  <dcterms:modified xsi:type="dcterms:W3CDTF">2026-01-20T19:47:57Z</dcterms:modified>
</cp:coreProperties>
</file>